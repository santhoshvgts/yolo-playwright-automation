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YOLO\yolo-playwright-automation\"/>
    </mc:Choice>
  </mc:AlternateContent>
  <xr:revisionPtr revIDLastSave="0" documentId="11_6A777BBDFB3CF27B28E48F0884DEDD0EF6C588B4" xr6:coauthVersionLast="47" xr6:coauthVersionMax="47" xr10:uidLastSave="{00000000-0000-0000-0000-000000000000}"/>
  <bookViews>
    <workbookView xWindow="-108" yWindow="-108" windowWidth="23256" windowHeight="14136" xr2:uid="{00000000-000D-0000-FFFF-FFFF00000000}"/>
  </bookViews>
  <sheets>
    <sheet name="Test Cases" sheetId="1" r:id="rId1"/>
    <sheet name="Summary" sheetId="2" r:id="rId2"/>
  </sheets>
  <definedNames>
    <definedName name="_xlnm._FilterDatabase" localSheetId="0" hidden="1">'Test Cases'!$A$1:$M$967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2" l="1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E2" i="2"/>
  <c r="E25" i="2" s="1"/>
  <c r="D2" i="2"/>
  <c r="D25" i="2" s="1"/>
  <c r="C2" i="2"/>
  <c r="C25" i="2" s="1"/>
  <c r="B2" i="2"/>
  <c r="B25" i="2" s="1"/>
</calcChain>
</file>

<file path=xl/sharedStrings.xml><?xml version="1.0" encoding="utf-8"?>
<sst xmlns="http://schemas.openxmlformats.org/spreadsheetml/2006/main" count="5632" uniqueCount="1938">
  <si>
    <t>S.No</t>
  </si>
  <si>
    <t>Module</t>
  </si>
  <si>
    <t>Spec File</t>
  </si>
  <si>
    <t>Line</t>
  </si>
  <si>
    <t>Suite (describe)</t>
  </si>
  <si>
    <t>Test ID</t>
  </si>
  <si>
    <t>Test Title</t>
  </si>
  <si>
    <t>Existing Tags</t>
  </si>
  <si>
    <t>Regression (Y/N)</t>
  </si>
  <si>
    <t>Smoke (Y/N)</t>
  </si>
  <si>
    <t>Priority</t>
  </si>
  <si>
    <t>New Tag(s)</t>
  </si>
  <si>
    <t>Remarks</t>
  </si>
  <si>
    <t>root</t>
  </si>
  <si>
    <t>Pricing_general_Create.spec.js</t>
  </si>
  <si>
    <t>Pricing_general_Create</t>
  </si>
  <si>
    <t>TC01</t>
  </si>
  <si>
    <t>TC01 - Create a General price list with Overall Markup</t>
  </si>
  <si>
    <t>TC02</t>
  </si>
  <si>
    <t>TC02 - Create a General price list with Overall Markdown</t>
  </si>
  <si>
    <t>TC03</t>
  </si>
  <si>
    <t>TC03 - Create a General price list with Item Specific pricing</t>
  </si>
  <si>
    <t>TC04</t>
  </si>
  <si>
    <t>TC04 - Create a General price list with Item Specific pricing by auto calculation</t>
  </si>
  <si>
    <t>TC05</t>
  </si>
  <si>
    <t>TC05 - Create a Category Wise price list with Overall Markup</t>
  </si>
  <si>
    <t>TC06</t>
  </si>
  <si>
    <t>TC06 - Create a Category Wise price list with Overall Markdown</t>
  </si>
  <si>
    <t>TC07</t>
  </si>
  <si>
    <t>TC07 - Create a Category Wise price list with Item Specific pricing</t>
  </si>
  <si>
    <t>TC08</t>
  </si>
  <si>
    <t>TC08 - Create a Category Wise price list with Item Specific pricing by auto calculation</t>
  </si>
  <si>
    <t>TC09</t>
  </si>
  <si>
    <t>TC09 - Create a Profile Wise price list with Overall Markup</t>
  </si>
  <si>
    <t>TC10</t>
  </si>
  <si>
    <t>TC10 - Create a Profile Wise price list with Overall Markdown</t>
  </si>
  <si>
    <t>TC11</t>
  </si>
  <si>
    <t>TC11 - Create a Profile Wise price list with Item Specific pricing</t>
  </si>
  <si>
    <t>TC12</t>
  </si>
  <si>
    <t>TC12 - Create a Profile Wise price list with Item Specific pricing by auto calculation</t>
  </si>
  <si>
    <t>TC13</t>
  </si>
  <si>
    <t>TC13 - Edit the General price list with Overall Markup</t>
  </si>
  <si>
    <t>TC14</t>
  </si>
  <si>
    <t>TC14 - Edit the General price list with Overall Markdown</t>
  </si>
  <si>
    <t>TC15</t>
  </si>
  <si>
    <t>TC15 - Edit the General price list with Item Specific pricing</t>
  </si>
  <si>
    <t>TC16</t>
  </si>
  <si>
    <t>TC16 - Edit the General price list with Item Specific pricing by auto calculation</t>
  </si>
  <si>
    <t>TC17</t>
  </si>
  <si>
    <t>TC17 - Edit the Category Wise price list with Overall Markup</t>
  </si>
  <si>
    <t>TC18</t>
  </si>
  <si>
    <t>TC18 - Edit the Category Wise price list with Overall Markdown</t>
  </si>
  <si>
    <t>TC19</t>
  </si>
  <si>
    <t>TC19 - Edit the Category Wise price list with Item Specific pricing</t>
  </si>
  <si>
    <t>TC20</t>
  </si>
  <si>
    <t>TC20 - Edit the Category Wise price list with Item Specific pricing by auto calculation</t>
  </si>
  <si>
    <t>TC21</t>
  </si>
  <si>
    <t>TC21 - Edit the Profile Wise price list with Overall Markup</t>
  </si>
  <si>
    <t>TC22</t>
  </si>
  <si>
    <t>TC22 - Edit the Profile Wise price list with Overall Markdown</t>
  </si>
  <si>
    <t>TC23</t>
  </si>
  <si>
    <t>TC23 - Edit the Profile Wise price list with Item Specific pricing</t>
  </si>
  <si>
    <t>TC24</t>
  </si>
  <si>
    <t>TC24 - Edit the Profile Wise price list with Item Specific pricing by auto calculation</t>
  </si>
  <si>
    <t>TC25</t>
  </si>
  <si>
    <t>TC25 - Delete the edited General price list with Overall Markup</t>
  </si>
  <si>
    <t>TC26</t>
  </si>
  <si>
    <t>TC26 - Inactivate and delete the General price list with Overall Markdown</t>
  </si>
  <si>
    <t>Product_item_Create.spec.js</t>
  </si>
  <si>
    <t>Product_item_Create</t>
  </si>
  <si>
    <t>TC01 - Create a new product item and verify it is listed in Items</t>
  </si>
  <si>
    <t>Vendor_Create.spec.js</t>
  </si>
  <si>
    <t>Vendor_Create</t>
  </si>
  <si>
    <t>TC01 - Create a Business Vendor with GST</t>
  </si>
  <si>
    <t>TC02 - Create a Business Vendor without GST</t>
  </si>
  <si>
    <t>TC03 - Create an Individual Vendor</t>
  </si>
  <si>
    <t>TC04 - Edit the Business Vendor with GST</t>
  </si>
  <si>
    <t>_tools</t>
  </si>
  <si>
    <t>_tools/pricing-cleanup.spec.js</t>
  </si>
  <si>
    <t>cleanup: no active ZZ price lists / offers</t>
  </si>
  <si>
    <t>finance</t>
  </si>
  <si>
    <t>finance/01_ChequeTracker.spec.js</t>
  </si>
  <si>
    <t>Cheque Tracker</t>
  </si>
  <si>
    <t>CT TC-UI-01 / 04 / 05 / 06 / 07 / 08 / 09 / 13 / 14 / 15 / 16 / 17</t>
  </si>
  <si>
    <t>CT TC-UI-01 / 04 / 05 / 06 / 07 / 08 / 09 / 13 / 14 / 15 / 16 / 17 - Tabs with counts; columns per tab; Search, dates, Export, Move to (Revert on Cleared); ⋮ on rows</t>
  </si>
  <si>
    <t>@cheque @finance</t>
  </si>
  <si>
    <t>CT TC-UI-10 / 11</t>
  </si>
  <si>
    <t>CT TC-UI-10 / 11 - Header checkbox selects every row; a row checkbox selects one</t>
  </si>
  <si>
    <t>CT TC-CIH-01 / 02 / 12 / TC-INT-01</t>
  </si>
  <si>
    <t>CT TC-CIH-01 / 02 / 12 / TC-INT-01 - Cheque payment lands in Cheque In Hand with its details; invoice stays due</t>
  </si>
  <si>
    <t>CT TC-CIH-03 / TC-UI-03 / TC-DEP-01 / 07 / TC-INT-02</t>
  </si>
  <si>
    <t>CT TC-CIH-03 / TC-UI-03 / TC-DEP-01 / 07 / TC-INT-02 - In Hand → Deposited: counts move by one, Deposited Date today, invoice still due</t>
  </si>
  <si>
    <t>CT TC-DEP-02 / TC-CLR-01 / 02 / 03 / 06 / TC-INT-03 / TC-RP-24 / TC-MT-09</t>
  </si>
  <si>
    <t>CT TC-DEP-02 / TC-CLR-01 / 02 / 03 / 06 / TC-INT-03 / TC-RP-24 / TC-MT-09 - Deposited → Cleared: Cleared Date today; invoice Paid</t>
  </si>
  <si>
    <t>CT TC-CLR-04 / TC-INT-04 / TC-EC-05</t>
  </si>
  <si>
    <t>CT TC-CLR-04 / TC-INT-04 / TC-EC-05 - Revert a cleared cheque: back In Hand, invoice due again</t>
  </si>
  <si>
    <t>CT TC-CIH-04 / TC-CAN-01 / 06 / TC-INT-05</t>
  </si>
  <si>
    <t>CT TC-CIH-04 / TC-CAN-01 / 06 / TC-INT-05 - In Hand → Cancelled: Cancelled Date today, invoice due</t>
  </si>
  <si>
    <t>CT TC-CAN-02 / 03 / 04 / 05</t>
  </si>
  <si>
    <t>CT TC-CAN-02 / 03 / 04 / 05 - Cancelled → In Hand / Deposited / Returned allowed; Cleared not offered</t>
  </si>
  <si>
    <t>CT TC-CIH-05 / TC-RET-01 / 02 / 13 / TC-INT-06</t>
  </si>
  <si>
    <t>CT TC-CIH-05 / TC-RET-01 / 02 / 13 / TC-INT-06 - In Hand → Returned: Returned Date, Late Fee Charge filled; invoice due</t>
  </si>
  <si>
    <t>CT TC-CIH-06 / TC-DEP-05 / TC-MT-03</t>
  </si>
  <si>
    <t>CT TC-CIH-06 / TC-DEP-05 / TC-MT-03 - Bulk: three cheques In Hand → Deposited → Cleared together</t>
  </si>
  <si>
    <t>CT TC-CIH-07 / TC-DEP-06 / TC-MT-05 / 07 / TC-EC-07</t>
  </si>
  <si>
    <t>CT TC-CIH-07 / TC-DEP-06 / TC-MT-05 / 07 / TC-EC-07 - A future-dated cheque cannot be moved; today's can (mixed bulk moves only the dated one)</t>
  </si>
  <si>
    <t>CT TC-CIH-08 / TC-MT-06</t>
  </si>
  <si>
    <t>CT TC-CIH-08 / TC-MT-06 - Move to with nothing selected does nothing (or asks to select)</t>
  </si>
  <si>
    <t>CT TC-CIH-09 / TC-MT-04</t>
  </si>
  <si>
    <t>CT TC-CIH-09 / TC-MT-04 - ⋮ → Move To → Deposited moves only that cheque</t>
  </si>
  <si>
    <t>CT TC-DEP-03 / 04</t>
  </si>
  <si>
    <t>CT TC-DEP-03 / 04 - Deposited → Returned and Deposited → Cancelled</t>
  </si>
  <si>
    <t>CT TC-RET-03 / 05 / 06 / 07 / 08 / TC-EC-09</t>
  </si>
  <si>
    <t>CT TC-RET-03 / 05 / 06 / 07 / 08 / TC-EC-09 - Collect Amount: popup with amount and account; no account, ₹0 and "-" refused; Cancel changes nothing</t>
  </si>
  <si>
    <t>CT TC-RET-04 / 09 / 10 / 15 / TC-MT-08 / TC-EC-10 / 08</t>
  </si>
  <si>
    <t>CT TC-RET-04 / 09 / 10 / 15 / TC-MT-08 / TC-EC-10 / 08 - Collect the late fee: Paid Amount filled; status then locked; Collect hidden afterwards</t>
  </si>
  <si>
    <t>CT TC-SF-01 / 02 / 03 / 04 / 05 / 10</t>
  </si>
  <si>
    <t>CT TC-SF-01 / 02 / 03 / 04 / 05 / 10 - Search by cheque no, customer, receipt; no match; special characters; per tab</t>
  </si>
  <si>
    <t>CT TC-SF-06 / 07 / 08 / 09 / 11 / 12</t>
  </si>
  <si>
    <t>CT TC-SF-06 / 07 / 08 / 09 / 11 / 12 - Date filter: today only (with search), empty range, reversed, reload restores</t>
  </si>
  <si>
    <t>CT TC-EXP-01 / 02 / 04 / 05 / 06</t>
  </si>
  <si>
    <t>CT TC-EXP-01 / 02 / 04 / 05 / 06 - Export downloads a spreadsheet (all, filtered, empty tab)</t>
  </si>
  <si>
    <t>CT TC-INT-10 / TC-EC-02</t>
  </si>
  <si>
    <t>CT TC-INT-10 / TC-EC-02 - Two invoices, two cheques: clearing one pays only that invoice; a partial cheque shows its own amount</t>
  </si>
  <si>
    <t>CT TC-EC-01</t>
  </si>
  <si>
    <t>CT TC-EC-01 - The same cheque number on two payments: both listed (or the second warned about)</t>
  </si>
  <si>
    <t>CT TC-RET-11 / TC-EC-04</t>
  </si>
  <si>
    <t>CT TC-RET-11 / TC-EC-04 - A returned cheque without a collected fee can be deleted (⋮ Delete)</t>
  </si>
  <si>
    <t>CT TC-UI-02</t>
  </si>
  <si>
    <t>CT TC-UI-02 - Tab counts = records (Counts are checked as they change (CT TC-CIH-03); other users add cheques to the same org.)</t>
  </si>
  <si>
    <t>CT TC-UI-12</t>
  </si>
  <si>
    <t>CT TC-UI-12 - Responsive layout (Visual design check.)</t>
  </si>
  <si>
    <t>CT TC-CIH-10 / 11</t>
  </si>
  <si>
    <t>CT TC-CIH-10 / 11 - Upload attachment (image / invalid file) (Needs image fixtures for the upload dialog.)</t>
  </si>
  <si>
    <t>CT TC-CLR-05</t>
  </si>
  <si>
    <t>CT TC-CLR-05 - Bulk revert (Same Revert action as CT TC-CLR-04, run per cheque.)</t>
  </si>
  <si>
    <t>CT TC-CLR-07 / TC-CAN-07 / TC-RET-14</t>
  </si>
  <si>
    <t>CT TC-CLR-07 / TC-CAN-07 / TC-RET-14 - Future-dated cheque on later tabs (A future-dated cheque cannot leave In Hand (CT TC-CIH-07), so it never reaches these tabs.)</t>
  </si>
  <si>
    <t>CT TC-RET-12 / TC-INT-07 / 08 / 09</t>
  </si>
  <si>
    <t>CT TC-RET-12 / TC-INT-07 / 08 / 09 - Customer Transaction report entries (Customer statement checks belong to the Customer_Transaction sheet; invoice status is checked here.)</t>
  </si>
  <si>
    <t>CT TC-EXP-03</t>
  </si>
  <si>
    <t>CT TC-EXP-03 - Returned export columns (Export file content needs a spreadsheet parser.)</t>
  </si>
  <si>
    <t>CT TC-EC-06</t>
  </si>
  <si>
    <t>CT TC-EC-06 - Bulk with a cleared + an in-hand cheque (Cheques of different tabs cannot be selected together (one tab at a time).)</t>
  </si>
  <si>
    <t>finance/02_ManualJournal.spec.js</t>
  </si>
  <si>
    <t>Manual Journal</t>
  </si>
  <si>
    <t>MJ TC-UI-01 / 06 / 07 / 08 / TC-CJ-01 / 02 / 09 / TC-UI-02</t>
  </si>
  <si>
    <t>MJ TC-UI-01 / 06 / 07 / 08 / TC-CJ-01 / 02 / 09 / TC-UI-02 - List columns and Total Count; Finance tabs; New Journal: MJN-AUTO no (read-only), today, Accrual Only default, rows and totals</t>
  </si>
  <si>
    <t>@finance @mj</t>
  </si>
  <si>
    <t>MJ TC-CJ-07 / TC-LI-03</t>
  </si>
  <si>
    <t>MJ TC-CJ-07 / TC-LI-03 - Notes required ("Notes is Required!"); no amounts refused</t>
  </si>
  <si>
    <t>MJ TC-CJ-08 / 05 / TC-LI-01 / 04 / 05 / 10 / 16 / 17 / 18 / TC-WF-03 / TC-UI-03 / 04 / 05 / TC-DI-02 / 05</t>
  </si>
  <si>
    <t>MJ TC-CJ-08 / 05 / TC-LI-01 / 04 / 05 / 10 / 16 / 17 / 18 / TC-WF-03 / TC-UI-03 / 04 / 05 / TC-DI-02 / 05 - Balanced ₹100 (no reference / description / contact): Open, amount 100, notes in list; view with Print / Edit / Delete</t>
  </si>
  <si>
    <t>MJ TC-CJ-03 / 04 / 06</t>
  </si>
  <si>
    <t>MJ TC-CJ-03 / 04 / 06 - Past and future dates and an alphanumeric reference are accepted</t>
  </si>
  <si>
    <t>MJ TC-LI-11 / 12 / TC-WF-10</t>
  </si>
  <si>
    <t>MJ TC-LI-11 / 12 / TC-WF-10 - Unbalanced (100 / 80) and debit-only journals are refused; Difference shown</t>
  </si>
  <si>
    <t>MJ TC-LI-06 / 07 / 08 / 09</t>
  </si>
  <si>
    <t>MJ TC-LI-06 / 07 / 08 / 09 - Debit and credit on one line refused; 0 and "-" refused; decimals 354.50 balance</t>
  </si>
  <si>
    <t>MJ TC-LI-02 / 14 / 15 / 19</t>
  </si>
  <si>
    <t>MJ TC-LI-02 / 14 / 15 / 19 - Three debits (100 + 200 + 300) and two credits (250 + 350): sub totals 600, saved</t>
  </si>
  <si>
    <t>MJ TC-JT-01 / 10 / TC-CT-01</t>
  </si>
  <si>
    <t>MJ TC-JT-01 / 10 / TC-CT-01 - Accrual Only with Accounts Receivable + contact saves; the customer due moves by the amount</t>
  </si>
  <si>
    <t>MJ TC-JT-02 / TC-CT-02</t>
  </si>
  <si>
    <t>MJ TC-JT-02 / TC-CT-02 - Accrual Only with Accounts Payable + vendor contact saves</t>
  </si>
  <si>
    <t>MJ TC-JT-03 / 08 / 09</t>
  </si>
  <si>
    <t>MJ TC-JT-03 / 08 / 09 - Cash Only with Accounts Receivable is refused; switching the account to Petty Cash then saves</t>
  </si>
  <si>
    <t>MJ TC-CJ-10 / 11 / TC-JT-07</t>
  </si>
  <si>
    <t>MJ TC-CJ-10 / 11 / TC-JT-07 - Cash Only and Accrual and Cash journals with non-A/R accounts save</t>
  </si>
  <si>
    <t>MJ TC-WF-02</t>
  </si>
  <si>
    <t>MJ TC-WF-02 - An unbalanced journal can be saved as Draft</t>
  </si>
  <si>
    <t>MJ TC-WF-01 / 04 / 05 / 11</t>
  </si>
  <si>
    <t>MJ TC-WF-01 / 04 / 05 / 11 - Draft: Draft status; edit the amounts and Save → Open</t>
  </si>
  <si>
    <t>MJ TC-WF-07 / TC-DI-06 / TC-COA-06</t>
  </si>
  <si>
    <t>MJ TC-WF-07 / TC-DI-06 / TC-COA-06 - Edit an open journal: notes and amount follow in list and view</t>
  </si>
  <si>
    <t>MJ TC-WF-06 / 08 / TC-PG-08 / TC-DI-01</t>
  </si>
  <si>
    <t>MJ TC-WF-06 / 08 / TC-PG-08 / TC-DI-01 - Delete a draft and an open journal: gone, count −1 each; numbers unique</t>
  </si>
  <si>
    <t>MJ TC-WF-09</t>
  </si>
  <si>
    <t>MJ TC-WF-09 - Cancel on a filled form saves nothing</t>
  </si>
  <si>
    <t>MJ TC-WF-12 / TC-DI-07</t>
  </si>
  <si>
    <t>MJ TC-WF-12 / TC-DI-07 - Print in the view opens a preview, dialog or PDF</t>
  </si>
  <si>
    <t>MJ TC-SF-01 / 02 / 03 / 04 / 05 / 10 / 11</t>
  </si>
  <si>
    <t>MJ TC-SF-01 / 02 / 03 / 04 / 05 / 10 / 11 - Search by number, reference, notes, status; no match; special characters</t>
  </si>
  <si>
    <t>MJ TC-SF-06 / 07 / 08 / 09 / 12</t>
  </si>
  <si>
    <t>MJ TC-SF-06 / 07 / 08 / 09 / 12 - Date filter: today only (with notes search), empty range, reversed; reload restores</t>
  </si>
  <si>
    <t>MJ TC-PG-01 / 04 / 05 / 06 / 07 / 09</t>
  </si>
  <si>
    <t>MJ TC-PG-01 / 04 / 05 / 06 / 07 / 09 - 20 per page, next / previous, first page previous disabled (one page when ≤ 20)</t>
  </si>
  <si>
    <t>MJ TC-INT-01 / 02 / 03 / 04 / 05 / 06 / TC-DI-03 / 04</t>
  </si>
  <si>
    <t>MJ TC-INT-01 / 02 / 03 / 04 / 05 / 06 / TC-DI-03 / 04 - Collecting a cheque late fee creates an Open journal: reference = cheque no, amount = fee, today</t>
  </si>
  <si>
    <t>MJ TC-INT-09</t>
  </si>
  <si>
    <t>MJ TC-INT-09 - A returned cheque without a collected fee creates no journal</t>
  </si>
  <si>
    <t>MJ TC-PG-02 / 03 / 10</t>
  </si>
  <si>
    <t>MJ TC-PG-02 / 03 / 10 - Page size 50 / 100 (The journal list has fewer than 50 entries.)</t>
  </si>
  <si>
    <t>MJ TC-COA-01 … 05</t>
  </si>
  <si>
    <t>MJ TC-COA-01 … 05 - Chart of Accounts balances (No Chart of Accounts screen in the Finance menu of this build.)</t>
  </si>
  <si>
    <t>MJ TC-CT-03 / 04</t>
  </si>
  <si>
    <t>MJ TC-CT-03 / 04 - Customer statement after delete / for drafts (Customer balance is checked on create (MJ TC-CT-01).)</t>
  </si>
  <si>
    <t>MJ TC-INT-07 / 08 / 10 / 11 / 12 / TC-DI-08</t>
  </si>
  <si>
    <t>MJ TC-INT-07 / 08 / 10 / 11 / 12 / TC-DI-08 - Several / partial late fees, statement entry, deleting the late-fee journal (One late-fee journal is checked (MJ TC-INT-01); partial collection is a Cheque Tracker case.)</t>
  </si>
  <si>
    <t>inventory</t>
  </si>
  <si>
    <t>inventory/02_InventoryProduct.spec.js</t>
  </si>
  <si>
    <t>Inventory Product</t>
  </si>
  <si>
    <t>INV_FUNC_001 / INV_UI_001 / 005 / 006 / 013 / 014</t>
  </si>
  <si>
    <t>INV_FUNC_001 / INV_UI_001 / 005 / 006 / 013 / 014 - Tabs Items / Asset / Service / Category; list columns and Total Count per tab</t>
  </si>
  <si>
    <t>@inv @inventory</t>
  </si>
  <si>
    <t>INV_FUNC_002 / 003 / 004 / INV_UI_003 / 012</t>
  </si>
  <si>
    <t>INV_FUNC_002 / 003 / 004 / INV_UI_003 / 012 - Item form (one drawer, adapted from 3 steps): Basic Info, Sale Details, Purchase Details fields</t>
  </si>
  <si>
    <t>INV_NEG_001 / INV_VAL_001 / 006 / INV_UI_004</t>
  </si>
  <si>
    <t>INV_NEG_001 / INV_VAL_001 / 006 / INV_UI_004 - Save empty: Name, Selling Price, Tax Preference and GST required</t>
  </si>
  <si>
    <t>INV_FUNC_007 / INV_POS_001 / 003 / 007 / INV_BND_002 / 006 / INV_BL_002 / INV_E2E_001 / 013 / INV_UI_002</t>
  </si>
  <si>
    <t>INV_FUNC_007 / INV_POS_001 / 003 / 007 / INV_BND_002 / 006 / INV_BL_002 / INV_E2E_001 / 013 / INV_UI_002 - Item with 8-digit HSN, GST12, ₹250: listed with HSN, 12%, ₹250 and Out of stocks (no stock)</t>
  </si>
  <si>
    <t>INV_FUNC_008 / INV_E2E_006</t>
  </si>
  <si>
    <t>INV_FUNC_008 / INV_E2E_006 - Close on a filled item form creates nothing</t>
  </si>
  <si>
    <t>INV_NEG_003 / INV_VAL_002 / 003 / INV_BND_003 / 004</t>
  </si>
  <si>
    <t>INV_NEG_003 / INV_VAL_002 / 003 / INV_BND_003 / 004 - HSN: 7 digits refused; letters and a 9th digit not accepted</t>
  </si>
  <si>
    <t>INV_NEG_004 / 011 / INV_VAL_007</t>
  </si>
  <si>
    <t>INV_NEG_004 / 011 / INV_VAL_007 - Sale price: "-" and letters refused</t>
  </si>
  <si>
    <t>INV_NEG_016 / INV_VAL_012</t>
  </si>
  <si>
    <t>INV_NEG_016 / INV_VAL_012 - Cost per pcs: "-" refused</t>
  </si>
  <si>
    <t>INV_BND_001 / 008 / INV_VAL_013</t>
  </si>
  <si>
    <t>INV_BND_001 / 008 / INV_VAL_013 - One-character name and ₹0.01 save; a 300-character name is limited or refused</t>
  </si>
  <si>
    <t>INV_NEG_014 / INV_VAL_018</t>
  </si>
  <si>
    <t>INV_NEG_014 / INV_VAL_018 - A second item with the same name is refused or warned about</t>
  </si>
  <si>
    <t>INV_NEG_018 / INV_SEC_005</t>
  </si>
  <si>
    <t>INV_NEG_018 / INV_SEC_005 - Script text in the product name is not run</t>
  </si>
  <si>
    <t>INV_POS_014 / INV_VAL_014</t>
  </si>
  <si>
    <t>INV_POS_014 / INV_VAL_014 - CESS rate 5 % saved and shown in Tax Preferences</t>
  </si>
  <si>
    <t>INV_FUNC_009 / 010 / INV_UI_007 / 008 / INV_POS_002 / 017 / INV_BL_016 / INV_BND_007</t>
  </si>
  <si>
    <t>INV_FUNC_009 / 010 / INV_UI_007 / 008 / INV_POS_002 / 017 / INV_BL_016 / INV_BND_007 - Detail: Close, Active, Edit, Stock (Default warehouse = stock), Sale Detail, Tax, Accounts; list shows "N pcs Left"</t>
  </si>
  <si>
    <t>INV_FUNC_011 / INV_POS_008 / INV_VAL_015 / INV_BL_008 / INV_E2E_002 / INV_ACC_006</t>
  </si>
  <si>
    <t>INV_FUNC_011 / INV_POS_008 / INV_VAL_015 / INV_BL_008 / INV_E2E_002 / INV_ACC_006 - Inactive (Space key): not offered on a purchase invoice; active again: offered</t>
  </si>
  <si>
    <t>INV_FUNC_012 / 013 / INV_E2E_005 / 009</t>
  </si>
  <si>
    <t>INV_FUNC_012 / 013 / INV_E2E_005 / 009 - Edit basic info (name) and Tax Preferences (GST12): list follows</t>
  </si>
  <si>
    <t>INV_FUNC_014 / 015 / INV_E2E_015</t>
  </si>
  <si>
    <t>INV_FUNC_014 / 015 / INV_E2E_015 - Edit Account Details: sales account changed and shown</t>
  </si>
  <si>
    <t>INV_FUNC_016 / 017 / 018 / INV_POS_009 / INV_BND_005 / INV_E2E_004 / INV_BL_013</t>
  </si>
  <si>
    <t>INV_FUNC_016 / 017 / 018 / INV_POS_009 / INV_BND_005 / INV_E2E_004 / INV_BL_013 - Service (one drawer, Nos, no stock): with 6-digit SAC, ₹500, GST18 → listed; detail has Sale Detail / Tax / Accounts and no stock</t>
  </si>
  <si>
    <t>INV_NEG_006 / 007 / 017 / INV_VAL_004 / 009 / INV_POS_010</t>
  </si>
  <si>
    <t>INV_NEG_006 / 007 / 017 / INV_VAL_004 / 009 / INV_POS_010 - Service: empty save refused; 4-digit SAC refused; no SAC saves with "-"</t>
  </si>
  <si>
    <t>INV_POS_018</t>
  </si>
  <si>
    <t>INV_POS_018 - Service Sale Detail edit saves a new price</t>
  </si>
  <si>
    <t>INV_FUNC_019 / 020 / 021 / INV_POS_011 / 012 / INV_BND_010 / INV_UI_010 / 011 / INV_BL_012 / INV_E2E_012</t>
  </si>
  <si>
    <t>INV_FUNC_019 / 020 / 021 / INV_POS_011 / 012 / INV_BND_010 / INV_UI_010 / 011 / INV_BL_012 / INV_E2E_012 - Category with description; child with parent; list shows parent / "-"; detail</t>
  </si>
  <si>
    <t>INV_NEG_008 / 009 / INV_VAL_008 / INV_SEC_006</t>
  </si>
  <si>
    <t>INV_NEG_008 / 009 / INV_VAL_008 / INV_SEC_006 - Category: empty name refused; Close saves nothing; script text not run</t>
  </si>
  <si>
    <t>INV_POS_013 / INV_E2E_007</t>
  </si>
  <si>
    <t>INV_POS_013 / INV_E2E_007 - Edit the category name and description</t>
  </si>
  <si>
    <t>INV_FUNC_022 / INV_E2E_014 / INV_NEG_010 / INV_E2E_003 / INV_BL_011</t>
  </si>
  <si>
    <t>INV_FUNC_022 / INV_E2E_014 / INV_NEG_010 / INV_E2E_003 / INV_BL_011 - Delete an unused category (count −1); a category used by an item is kept</t>
  </si>
  <si>
    <t>INV_BL_005 / 006 / INV_POS_005 / 006</t>
  </si>
  <si>
    <t>INV_BL_005 / 006 / INV_POS_005 / 006 - Item price exclusive: invoice ₹100 + 18 % = ₹118</t>
  </si>
  <si>
    <t>INV_SF_001 / 002 / 003 / 004 / 005 / 010 / 012 / INV_SEC_004 / INV_SF_011</t>
  </si>
  <si>
    <t>INV_SF_001 / 002 / 003 / 004 / 005 / 010 / 012 / INV_SEC_004 / INV_SF_011 - Item search: exact, partial, case, no match, SQL; per tab; cleared on return</t>
  </si>
  <si>
    <t>INV_SF_006 / 007 / 008</t>
  </si>
  <si>
    <t>INV_SF_006 / 007 / 008 - Service and category search</t>
  </si>
  <si>
    <t>INV_PAG_005 / 007 / 008 / 009</t>
  </si>
  <si>
    <t>INV_PAG_005 / 007 / 008 / 009 - Items: 20 per page, page size selector, count across pages; a search returns to page 1</t>
  </si>
  <si>
    <t>INV_SEC_001 / 011</t>
  </si>
  <si>
    <t>INV_SEC_001 / 011 - Without a session the products page redirects to login</t>
  </si>
  <si>
    <t>INV_FUNC_005 / 006 / INV_UI_003 (steps)</t>
  </si>
  <si>
    <t>INV_FUNC_005 / 006 / INV_UI_003 (steps) - Wizard Back / Next between steps (The item form is one drawer — no steps.)</t>
  </si>
  <si>
    <t>INV_NEG_002 / INV_VAL_005</t>
  </si>
  <si>
    <t>INV_NEG_002 / INV_VAL_005 - Unit of Measure required (Unit of Measure defaults to pcs (Nos for services) and cannot be emptied.)</t>
  </si>
  <si>
    <t>INV_NEG_005 / 012 / INV_VAL_010 / INV_BND_009 / INV_BL_001</t>
  </si>
  <si>
    <t>INV_NEG_005 / 012 / INV_VAL_010 / INV_BND_009 / INV_BL_001 - Opening stock on the item form (No opening-stock field — stock comes from a stock adjustment (shared setupItem).)</t>
  </si>
  <si>
    <t>INV_NEG_015 / INV_VAL_011 / INV_FUNC_015 / INV_POS_016 / INV_BL_010 / INV_BND_011</t>
  </si>
  <si>
    <t>INV_NEG_015 / INV_VAL_011 / INV_FUNC_015 / INV_POS_016 / INV_BL_010 / INV_BND_011 - Minimum stock reminder (No minimum-stock field on the item form or detail.)</t>
  </si>
  <si>
    <t>INV_POS_004 / INV_BL_009</t>
  </si>
  <si>
    <t>INV_POS_004 / INV_BL_009 - Batch tracking (Stock Tracking options need batch-enabled warehouses — not in this org.)</t>
  </si>
  <si>
    <t>INV_VAL_017</t>
  </si>
  <si>
    <t>INV_VAL_017 - Out-of-stock item cannot be sold (Sales allow negative stock in this org (TC-ST checks).)</t>
  </si>
  <si>
    <t>INV_VAL_016</t>
  </si>
  <si>
    <t>INV_VAL_016 - Inactive service on sales invoice (Same switch as items — checked for items (INV_FUNC_011).)</t>
  </si>
  <si>
    <t>INV_VAL_019</t>
  </si>
  <si>
    <t>INV_VAL_019 - Circular parent category (Parent list only offers existing categories; a child cannot be picked for its own parent without a second edit flow.)</t>
  </si>
  <si>
    <t>INV_VAL_020 / INV_BND_012</t>
  </si>
  <si>
    <t>INV_VAL_020 / INV_BND_012 - Alternate UOM conversion 0 / 1 (Alternate UOMs are covered by the Sales Invoice stock sheet.)</t>
  </si>
  <si>
    <t>INV_BL_014 / 015 / 017 / 018</t>
  </si>
  <si>
    <t>INV_BL_014 / 015 / 017 / 018 - Journal accounts / CESS on invoices (Covered by the Sales / Purchase invoice journal and CESS tests.)</t>
  </si>
  <si>
    <t>INV_PAG_001…004 / 006 / 010</t>
  </si>
  <si>
    <t>INV_PAG_001…004 / 006 / 010 - Category / service pagination, exactly 20 items (The org has &lt; 20 categories / services; exact counts need a controlled org.)</t>
  </si>
  <si>
    <t>INV_SF_009</t>
  </si>
  <si>
    <t>INV_SF_009 - Search by HSN code (Search is by name only (checked: name search).)</t>
  </si>
  <si>
    <t>INV_UPL_001…008 / INV_SEC_009 / INV_E2E_011</t>
  </si>
  <si>
    <t>INV_UPL_001…008 / INV_SEC_009 / INV_E2E_011 - Product / service / category image upload (Needs image fixtures and upload checks — not set up for this suite.)</t>
  </si>
  <si>
    <t>INV_NEG_013 / INV_SEC_003 / 010 / 014</t>
  </si>
  <si>
    <t>INV_NEG_013 / INV_SEC_003 / 010 / 014 - Role restrictions (No view-only / inventory-manager / accountant users in the test data.)</t>
  </si>
  <si>
    <t>INV_SEC_002</t>
  </si>
  <si>
    <t>INV_SEC_002 - Another org's items (Needs a second org.)</t>
  </si>
  <si>
    <t>INV_SEC_007 / 012</t>
  </si>
  <si>
    <t>INV_SEC_007 / 012 - CSRF / rate limiting (API-level security tests, not UI tests.)</t>
  </si>
  <si>
    <t>INV_SEC_008</t>
  </si>
  <si>
    <t>INV_SEC_008 - Session timeout (Needs a shortened session lifetime.)</t>
  </si>
  <si>
    <t>INV_SEC_013</t>
  </si>
  <si>
    <t>INV_SEC_013 - Deleted item by URL (Items cannot be deleted; detail is a drawer (no URL).)</t>
  </si>
  <si>
    <t>INV_SEC_015</t>
  </si>
  <si>
    <t>INV_SEC_015 - Script text in SKU (SKU behaves like the name field (INV_NEG_018).)</t>
  </si>
  <si>
    <t>INV_PERF_001…010</t>
  </si>
  <si>
    <t>INV_PERF_001…010 - Response-time / concurrency limits (Environment-dependent; not a functional check.)</t>
  </si>
  <si>
    <t>INV_ACC_001 / 002 / 003 / 004 / 005 / 007 / 008</t>
  </si>
  <si>
    <t>INV_ACC_001 / 002 / 003 / 004 / 005 / 007 / 008 - Keyboard list, screen reader, contrast, labels (Needs an accessibility audit tool (axe) / screen reader.)</t>
  </si>
  <si>
    <t>inventory/03_PriceList.spec.js</t>
  </si>
  <si>
    <t>Price List</t>
  </si>
  <si>
    <t>PL_FUNC_001 / PL_UI_001 / PL_UI_002 / PL_POS_015</t>
  </si>
  <si>
    <t>PL_FUNC_001 / PL_UI_001 / PL_UI_002 / PL_POS_015 - List: Price List Name, List Type, Pricing, Status, No Of Items; Active badge text; Total Count</t>
  </si>
  <si>
    <t>@inventory @pricelist</t>
  </si>
  <si>
    <t>PL_FUNC_002 / 003 / 004 / 005 / 006 / 007 / PL_UI_003 / 004 / 005 / 013</t>
  </si>
  <si>
    <t>PL_FUNC_002 / 003 / 004 / 005 / 006 / 007 / PL_UI_003 / 004 / 005 / 013 - Form: name, description, type General / Profile wise / Category wise (profiles; business type &amp; category), Overall Markup (Markup|Markdown + rate) / Item Specific (item list)</t>
  </si>
  <si>
    <t>PL_NEG_001 / 006 / 003</t>
  </si>
  <si>
    <t>PL_NEG_001 / 006 / 003 - Empty save: Name and Custom Rate required; the rate refuses letters and "-"</t>
  </si>
  <si>
    <t>PL_NEG_002</t>
  </si>
  <si>
    <t>PL_NEG_002 - Custom rate 0 % is refused</t>
  </si>
  <si>
    <t>PL_NEG_016</t>
  </si>
  <si>
    <t>PL_NEG_016 - Custom rate above 1000 % is refused or warned about</t>
  </si>
  <si>
    <t>PL_POS_006 / 007 / PL_UI_009 / PL_NEG_010</t>
  </si>
  <si>
    <t>PL_POS_006 / 007 / PL_UI_009 / PL_NEG_010 - Description: counter "N / 300", limited to 300; Remove collapses it</t>
  </si>
  <si>
    <t>PL_VAL_012 / PL_BND_011</t>
  </si>
  <si>
    <t>PL_VAL_012 / PL_BND_011 - Whitespace-only name refused; a 1-character name saves</t>
  </si>
  <si>
    <t>PL_VAL_015</t>
  </si>
  <si>
    <t>PL_VAL_015 - A second list with the same name is refused or warned about</t>
  </si>
  <si>
    <t>PL_NEG_013 / PL_SEC_005 / 006</t>
  </si>
  <si>
    <t>PL_NEG_013 / PL_SEC_005 / 006 - Script text in name / description is not run</t>
  </si>
  <si>
    <t>PL_FUNC_008 / 012 / PL_POS_001 / 009 / 014 / 018 / PL_UI_007 / PL_BL_001 / 002 / 014 / PL_E2E_001 / 010 / TC-27</t>
  </si>
  <si>
    <t>PL_FUNC_008 / 012 / PL_POS_001 / 009 / 014 / 018 / PL_UI_007 / PL_BL_001 / 002 / 014 / PL_E2E_001 / 010 / TC-27 - General Markup 10 %: list (General, Markup 10 %, Active, All Items), view, ₹100 item → ₹110 on the invoice</t>
  </si>
  <si>
    <t>PL_POS_002 / PL_BL_003 / 015 / PL_E2E_002 / PL_BND_012 / TC-28</t>
  </si>
  <si>
    <t>PL_POS_002 / PL_BL_003 / 015 / PL_E2E_002 / PL_BND_012 / TC-28 - Markdown 10 % → ₹90; Markdown 34 % → ₹66; Markup 10.5 % → ₹110.5</t>
  </si>
  <si>
    <t>PL_BND_002 / 003 / 001 / PL_POS_016 / PL_BL_017</t>
  </si>
  <si>
    <t>PL_BND_002 / 003 / 001 / PL_POS_016 / PL_BL_017 - Markup 100 % doubles; Markdown 100 % → ₹0 (or refused); 0.01 % saves</t>
  </si>
  <si>
    <t>PL_FUNC_016 / 017 / PL_NEG_017 / PL_E2E_007 / TC-29</t>
  </si>
  <si>
    <t>PL_FUNC_016 / 017 / PL_NEG_017 / PL_E2E_007 / TC-29 - Inactive: base price on the invoice; active again: marked-up price</t>
  </si>
  <si>
    <t>PL_FUNC_013 / 014 / PL_UI_012 / PL_BL_016 / PL_E2E_008 / 012</t>
  </si>
  <si>
    <t>PL_FUNC_013 / 014 / PL_UI_012 / PL_BL_016 / PL_E2E_008 / 012 - Edit: "Edit Price List" prefilled; 10 % → 20 %: list and new invoices follow</t>
  </si>
  <si>
    <t>PL_FUNC_004 / 009 / PL_POS_004 / PL_NEG_004 / PL_BND_008 / PL_UI_008 / PL_BL_004 / PL_E2E_003 / TC-30</t>
  </si>
  <si>
    <t>PL_FUNC_004 / 009 / PL_POS_004 / PL_NEG_004 / PL_BND_008 / PL_UI_008 / PL_BL_004 / PL_E2E_003 / TC-30 - Profile wise: refused without a profile; with one, only that customer gets the markup</t>
  </si>
  <si>
    <t>PL_FUNC_010 / PL_POS_003 / PL_E2E_013 / PL_VAL_014</t>
  </si>
  <si>
    <t>PL_FUNC_010 / PL_POS_003 / PL_E2E_013 / PL_VAL_014 - Category wise Retailer (category All / empty): saved; view shows the business type</t>
  </si>
  <si>
    <t>PL_FUNC_011 / PL_POS_005 / PL_NEG_005 / PL_BND_006 / PL_BL_007 / 019 / PL_E2E_005 / TC-39</t>
  </si>
  <si>
    <t>PL_FUNC_011 / PL_POS_005 / PL_NEG_005 / PL_BND_006 / PL_BL_007 / 019 / PL_E2E_005 / TC-39 - Item Specific: refused without items; A at ₹90 → "1 Items"; invoice A ₹90, B base price</t>
  </si>
  <si>
    <t>PL_NEG_015</t>
  </si>
  <si>
    <t>PL_NEG_015 - The same item twice in an Item Specific list is prevented</t>
  </si>
  <si>
    <t>PL_FUNC_015 / PL_NEG_009 / PL_E2E_009 / PL_BL_010</t>
  </si>
  <si>
    <t>PL_FUNC_015 / PL_NEG_009 / PL_E2E_009 / PL_BL_010 - The view offers Delete (⋮ menu)</t>
  </si>
  <si>
    <t>PL_FUNC_018 / PL_UI_014 / PL_POS_011</t>
  </si>
  <si>
    <t>PL_FUNC_018 / PL_UI_014 / PL_POS_011 - Distributors: "+ Assign" in the view, distributor options on the form</t>
  </si>
  <si>
    <t>PL_SF_001 / 002 / 003 / 004 / 005 / PL_SEC_004</t>
  </si>
  <si>
    <t>PL_SF_001 / 002 / 003 / 004 / 005 / PL_SEC_004 - Search: exact, partial, case, no match, SQL text; clearing restores</t>
  </si>
  <si>
    <t>PL_PAG_002 / 003 / 004 / 005 / 006 / 010</t>
  </si>
  <si>
    <t>PL_PAG_002 / 003 / 004 / 005 / 006 / 010 - 20 per page, next / previous, count constant; search back to page 1; newest list first</t>
  </si>
  <si>
    <t>PL_SEC_001 / 010</t>
  </si>
  <si>
    <t>PL_SEC_001 / 010 - Without a session the pricing page redirects to login; URLs hold no rates</t>
  </si>
  <si>
    <t>PL_FUNC_019 / 020</t>
  </si>
  <si>
    <t>PL_FUNC_019 / 020 - Several profile tags / remove a tag (Covered by one profile (PL_FUNC_009); tag removal needs a second spare customer.)</t>
  </si>
  <si>
    <t>PL_FUNC_021 / 022 / PL_UI_006 / PL_VAL_010 / 013 / 016 / PL_BL_008 / 012 / 020 / PL_POS_012 / PL_E2E_006 / 014</t>
  </si>
  <si>
    <t>PL_FUNC_021 / 022 / PL_UI_006 / PL_VAL_010 / 013 / 016 / PL_BL_008 / 012 / 020 / PL_POS_012 / PL_E2E_006 / 014 - Auto Calculate / additional UOM prices (Needs an item with alternate UOMs in an Item Specific list — UOM pricing is covered by the Sales Invoice stock sheet.)</t>
  </si>
  <si>
    <t>PL_POS_008 / 013 / PL_BL_018</t>
  </si>
  <si>
    <t>PL_POS_008 / 013 / PL_BL_018 - Beat Routes (No Beat Routes field in this build.)</t>
  </si>
  <si>
    <t>PL_POS_010</t>
  </si>
  <si>
    <t>PL_POS_010 - Switch Overall Markup → Item Specific on edit (Same form as create (both modes checked).)</t>
  </si>
  <si>
    <t>PL_POS_017 / PL_UI_010 / PL_SF_007…010</t>
  </si>
  <si>
    <t>PL_POS_017 / PL_UI_010 / PL_SF_007…010 - Item search inside the view (Needs an Item Specific list with many items.)</t>
  </si>
  <si>
    <t>PL_NEG_007 / 008 / PL_BND_009 / 010</t>
  </si>
  <si>
    <t>PL_NEG_007 / 008 / PL_BND_009 / 010 - Item Specific price 0 / negative / 0.01 / 99.99 (Item price field rules follow the custom rate field (PL_NEG_006).)</t>
  </si>
  <si>
    <t>PL_NEG_012 / PL_VAL_005 / PL_VAL_019 / PL_BL_005 / 006 / PL_E2E_004</t>
  </si>
  <si>
    <t>PL_NEG_012 / PL_VAL_005 / PL_VAL_019 / PL_BL_005 / 006 / PL_E2E_004 - Category wise without business type / per-category pricing on invoices (Business Type defaults to Retailer; customers with controlled business type / category are needed.)</t>
  </si>
  <si>
    <t>PL_BL_011</t>
  </si>
  <si>
    <t>PL_BL_011 - Priority between several active lists (The org has 380 lists from other runs; priority needs a clean org.)</t>
  </si>
  <si>
    <t>PL_BL_013 / PL_E2E_011 / PL_UI_011</t>
  </si>
  <si>
    <t>PL_BL_013 / PL_E2E_011 / PL_UI_011 - Distributor-restricted pricing (No distributor customers in this org.)</t>
  </si>
  <si>
    <t>PL_BND_007 / PL_PERF_004 / 008</t>
  </si>
  <si>
    <t>PL_BND_007 / PL_PERF_004 / 008 - 50-item list (Needs 50 items set up for one list.)</t>
  </si>
  <si>
    <t>PL_SF_006 / 011 / 012</t>
  </si>
  <si>
    <t>PL_SF_006 / 011 / 012 - Search by type / pricing keyword; search kept across views (Search is by name only.)</t>
  </si>
  <si>
    <t>PL_PAG_001 / 007 / 008 / 009 / PL_E2E_015</t>
  </si>
  <si>
    <t>PL_PAG_001 / 007 / 008 / 009 / PL_E2E_015 - Exact counts (19 / 21) / popup pagination (The org has 380+ lists.)</t>
  </si>
  <si>
    <t>PL_VAL_009 / 011 / 018</t>
  </si>
  <si>
    <t>PL_VAL_009 / 011 / 018 - Name length / Markup required / scope (Markup is the default prefix; scope covered by PL_FUNC_009.)</t>
  </si>
  <si>
    <t>PL_NEG_011 / 014 / PL_SEC_002 / 003 / 009 / 013 / 015</t>
  </si>
  <si>
    <t>PL_NEG_011 / 014 / PL_SEC_002 / 003 / 009 / 013 / 015 - Role / cross-org restrictions (No such users or second org.)</t>
  </si>
  <si>
    <t>PL_NEG_018 / PL_SEC_007 / 008 / 011 / 012 / 014</t>
  </si>
  <si>
    <t>PL_NEG_018 / PL_SEC_007 / 008 / 011 / 012 / 014 - Deleted-list URL / CSRF / session / rate limit / API (Lists cannot be deleted; API-level checks.)</t>
  </si>
  <si>
    <t>PL_PERF_001…010</t>
  </si>
  <si>
    <t>PL_PERF_001…010 - Response-time / concurrency limits (Environment-dependent; not a functional check.)</t>
  </si>
  <si>
    <t>PL_ACC_001…010</t>
  </si>
  <si>
    <t>PL_ACC_001…010 - Keyboard / screen reader / contrast (Needs an accessibility audit tool (axe) / screen reader.)</t>
  </si>
  <si>
    <t>inventory/04_Offers.spec.js</t>
  </si>
  <si>
    <t>Offers</t>
  </si>
  <si>
    <t>OFR_FUNC_001 / OFR_UI_001 / 002 / 003 / OFR_ACC_005</t>
  </si>
  <si>
    <t>OFR_FUNC_001 / OFR_UI_001 / 002 / 003 / OFR_ACC_005 - List: Scheme Name, Scheme Type, Scheme Application, Status (text), No Of Schemes; Offers button; Total Count</t>
  </si>
  <si>
    <t>@inventory @offers</t>
  </si>
  <si>
    <t>OFR_FUNC_002 / 003 / 004 / 005 / 006 / 007 / 008 / 009 / 010 / 011 / 012 / OFR_UI_004 / 005 / 007</t>
  </si>
  <si>
    <t>OFR_FUNC_002 / 003 / 004 / 005 / 006 / 007 / 008 / 009 / 010 / 011 / 012 / OFR_UI_004 / 005 / 007 - Form: name, description, types, Bill To Bill, IF item / condition (between: 2 qty, minimum / each: 1) / unit, THEN item / qty / unit, scheme / Rule buttons</t>
  </si>
  <si>
    <t>OFR_FUNC_013 / 014 / 015 / OFR_UI_006</t>
  </si>
  <si>
    <t>OFR_FUNC_013 / 014 / 015 / OFR_UI_006 - Rule adds an And / Or row; scheme adds Scheme 2; Delete removes it</t>
  </si>
  <si>
    <t>OFR_NEG_001 / 002 / 003</t>
  </si>
  <si>
    <t>OFR_NEG_001 / 002 / 003 - Empty save: name, buy item, qty, unit and free item required</t>
  </si>
  <si>
    <t>OFR_NEG_004 / 005</t>
  </si>
  <si>
    <t>OFR_NEG_004 / 005 - Is between with min &gt; max, and min = max, are refused</t>
  </si>
  <si>
    <t>OFR_NEG_006 / 007 / 009 / OFR_VAL_008</t>
  </si>
  <si>
    <t>OFR_NEG_006 / 007 / 009 / OFR_VAL_008 - Qty 0 refused ("Value cannot be 0"); "-" and decimals in qty not accepted</t>
  </si>
  <si>
    <t>OFR_NEG_015 / OFR_SEC_004 / OFR_NEG_008</t>
  </si>
  <si>
    <t>OFR_NEG_015 / OFR_SEC_004 / OFR_NEG_008 - Script text in the name is not run; a duplicate name is refused</t>
  </si>
  <si>
    <t>OFR_FUNC_016 / 017 / 018 / 026 / OFR_POS_001 / OFR_UI_008</t>
  </si>
  <si>
    <t>OFR_FUNC_016 / 017 / 018 / 026 / OFR_POS_001 / OFR_UI_008 - General Is minimum: listed Active, General, Bill to Bill, 1 scheme; view: Close / Active / Edit, ITEMS # / Buy Items / Free Items</t>
  </si>
  <si>
    <t>OFR_POS_002 / 003 / 006 / 007 / 008</t>
  </si>
  <si>
    <t>OFR_POS_002 / 003 / 006 / 007 / 008 - Is between 10–20, Is Each 20 (And + Or free items) and two scheme blocks save; No Of Schemes = 2</t>
  </si>
  <si>
    <t>OFR_FUNC_019 / 020 / 021 / OFR_POS_009 / 010</t>
  </si>
  <si>
    <t>OFR_FUNC_019 / 020 / 021 / OFR_POS_009 / 010 - Edit: prefilled; Cancel keeps the old data; new name + description saved</t>
  </si>
  <si>
    <t>OFR_FUNC_023 / 024 / OFR_UI_003</t>
  </si>
  <si>
    <t>OFR_FUNC_023 / 024 / OFR_UI_003 - Active switch: Not Active in the list; on again: Active</t>
  </si>
  <si>
    <t>OFR_FUNC_022 / OFR_UI_009 / OFR_NEG_012 / OFR_E2E_009</t>
  </si>
  <si>
    <t>OFR_FUNC_022 / OFR_UI_009 / OFR_NEG_012 / OFR_E2E_009 - Delete from the ⋮ menu (with confirmation) removes the scheme</t>
  </si>
  <si>
    <t>OFR_FUNC_025</t>
  </si>
  <si>
    <t>OFR_FUNC_025 - "+ Assign" in the view opens the distributor picker</t>
  </si>
  <si>
    <t>OFR_POS_001 / OFR_BND_005 / 006 / OFR_NEG_014 / OFR_E2E_001 / OFR_BL_001</t>
  </si>
  <si>
    <t>OFR_POS_001 / OFR_BND_005 / 006 / OFR_NEG_014 / OFR_E2E_001 / OFR_BL_001 - Is minimum 5: 5 A on an invoice adds a free B; 4 A does not; inactive: nothing</t>
  </si>
  <si>
    <t>OFR_BND_007 / 008 / OFR_BL_006 / OFR_E2E_002</t>
  </si>
  <si>
    <t>OFR_BND_007 / 008 / OFR_BL_006 / OFR_E2E_002 - Is Each 20: 40 A → 2 free, 35 A → 1 free</t>
  </si>
  <si>
    <t>OFR_BND_001 / 002 / 003 / 004 / OFR_E2E_003</t>
  </si>
  <si>
    <t>OFR_BND_001 / 002 / 003 / 004 / OFR_E2E_003 - Is between 10–20: 10 and 20 trigger; 9 and 21 do not</t>
  </si>
  <si>
    <t>OFR_POS_006 / OFR_BL_004 / OFR_E2E_005</t>
  </si>
  <si>
    <t>OFR_POS_006 / OFR_BL_004 / OFR_E2E_005 - And rule: both free items on the invoice</t>
  </si>
  <si>
    <t>OFR_SF_001 / 002 / 003 / 004 / 005</t>
  </si>
  <si>
    <t>OFR_SF_001 / 002 / 003 / 004 / 005 - Search: exact, case, partial, no match; clearing restores</t>
  </si>
  <si>
    <t>OFR_SEC_001</t>
  </si>
  <si>
    <t>OFR_SEC_001 - Without a session the offers page redirects to login</t>
  </si>
  <si>
    <t>OFR_POS_004 / 005 / OFR_BL_002 / 003 / OFR_E2E_004</t>
  </si>
  <si>
    <t>OFR_POS_004 / 005 / OFR_BL_002 / 003 / OFR_E2E_004 - Profile / category-wise schemes on invoices (Needs customers with controlled profiles / business categories; price-list scoping is covered in the PriceList sheet.)</t>
  </si>
  <si>
    <t>OFR_POS_007 / OFR_BL_005 / OFR_E2E_006</t>
  </si>
  <si>
    <t>OFR_POS_007 / OFR_BL_005 / OFR_E2E_006 - Or rule: customer chooses the free item on the invoice (The invoice-side choice prompt is not identified yet; the Or rule is saved and shown (OFR_POS_008).)</t>
  </si>
  <si>
    <t>OFR_NEG_010</t>
  </si>
  <si>
    <t>OFR_NEG_010 - Deleting the only scheme block (Covered by the empty save (no buy item → refused).)</t>
  </si>
  <si>
    <t>OFR_NEG_013 / OFR_BL_007 / OFR_VAL_005</t>
  </si>
  <si>
    <t>OFR_NEG_013 / OFR_BL_007 / OFR_VAL_005 - UOM mismatch / UOM list per item (Needs an item with alternate UOMs in a scheme.)</t>
  </si>
  <si>
    <t>OFR_BL_008 / 009 / 010 / 011 / 012 / OFR_E2E_008 / 010</t>
  </si>
  <si>
    <t>OFR_BL_008 / 009 / 010 / 011 / 012 / OFR_E2E_008 / 010 - Several active schemes / blocks / edits across invoices (Combinations of the invoice cases above — 11+ other schemes are active in this org.)</t>
  </si>
  <si>
    <t>OFR_VAL_001 / 007 / OFR_BND_009 / 010 / 011 / 012</t>
  </si>
  <si>
    <t>OFR_VAL_001 / 007 / OFR_BND_009 / 010 / 011 / 012 - Name / description length, 99999 qty, block limit (Field-length checks — same inputs as the price list form.)</t>
  </si>
  <si>
    <t>OFR_SF_006</t>
  </si>
  <si>
    <t>OFR_SF_006 - Search by scheme type (Search is by name only.)</t>
  </si>
  <si>
    <t>OFR_PAG_001…005</t>
  </si>
  <si>
    <t>OFR_PAG_001…005 - Pagination with 20 / 21+ schemes (The org has ~11 schemes.)</t>
  </si>
  <si>
    <t>OFR_UI_010</t>
  </si>
  <si>
    <t>OFR_UI_010 - Responsive layout 1366×768 (Visual design check.)</t>
  </si>
  <si>
    <t>OFR_SEC_002 / 005 / 006 / 007 / 008 / 009</t>
  </si>
  <si>
    <t>OFR_SEC_002 / 005 / 006 / 007 / 008 / 009 - Roles / CSRF / cross-org / session (No such users or second org; API-level checks.)</t>
  </si>
  <si>
    <t>OFR_PERF_001…005</t>
  </si>
  <si>
    <t>OFR_PERF_001…005 - Response-time / concurrency limits (Environment-dependent; not a functional check.)</t>
  </si>
  <si>
    <t>OFR_ACC_001…004 / 006 / 007</t>
  </si>
  <si>
    <t>OFR_ACC_001…004 / 006 / 007 - Labels, keyboard, screen reader, contrast (Needs an accessibility audit tool (axe) / screen reader.)</t>
  </si>
  <si>
    <t>inventory/05_VanSales.spec.js</t>
  </si>
  <si>
    <t>Van Sales</t>
  </si>
  <si>
    <t>VAN TC-INV-06 / 07</t>
  </si>
  <si>
    <t>VAN TC-INV-06 / 07 - Stock adjustment +20 then −10 moves the Default warehouse stock by the same amounts</t>
  </si>
  <si>
    <t>@inventory @van</t>
  </si>
  <si>
    <t>VAN TC-INV-08</t>
  </si>
  <si>
    <t>VAN TC-INV-08 - A decrease beyond the available stock is refused (or leaves stock at a valid value)</t>
  </si>
  <si>
    <t>VAN TC-LD-01…07</t>
  </si>
  <si>
    <t>VAN TC-LD-01…07 - Load sheet dashboard counts (Draft / Pending / Action Required / Approved) (Field Force van sales / multiple warehouses are not enabled for the test org; enabling them changes the shared org)</t>
  </si>
  <si>
    <t>VAN TC-CL-01…32</t>
  </si>
  <si>
    <t>VAN TC-CL-01…32 - Create / edit / delete load sheets, salesperson / beat route / warehouse rules, item and quantity checks (Field Force van sales / multiple warehouses are not enabled for the test org; enabling them changes the shared org)</t>
  </si>
  <si>
    <t>VAN TC-MA-01…06</t>
  </si>
  <si>
    <t>VAN TC-MA-01…06 - Manager approval and correction cycle (Field Force van sales / multiple warehouses are not enabled for the test org; enabling them changes the shared org)</t>
  </si>
  <si>
    <t>VAN TC-FF-01…11</t>
  </si>
  <si>
    <t>VAN TC-FF-01…11 - Field Force app check-in, load sheet, invoices and payments on mobile (Field Force van sales / multiple warehouses are not enabled for the test org; enabling them changes the shared org)</t>
  </si>
  <si>
    <t>VAN TC-LO-01…16</t>
  </si>
  <si>
    <t>VAN TC-LO-01…16 - Load out, settlement and manager verification (Field Force van sales / multiple warehouses are not enabled for the test org; enabling them changes the shared org)</t>
  </si>
  <si>
    <t>VAN TC-VS-01 / 02 / 03 / 04 / 07 / 08 / 09 / 12</t>
  </si>
  <si>
    <t>VAN TC-VS-01 / 02 / 03 / 04 / 07 / 08 / 09 / 12 - Van invoices limited to loaded van stock (Field Force van sales / multiple warehouses are not enabled for the test org; enabling them changes the shared org)</t>
  </si>
  <si>
    <t>VAN TC-INV-02 / 12…18</t>
  </si>
  <si>
    <t>VAN TC-INV-02 / 12…18 - Warehouse-specific stock / stock transfer between warehouses (Field Force van sales / multiple warehouses are not enabled for the test org; enabling them changes the shared org)</t>
  </si>
  <si>
    <t>VAN TC-INV-09 / 10 / 11</t>
  </si>
  <si>
    <t>VAN TC-INV-09 / 10 / 11 - Draft / edit / delete stock adjustments (Field Force van sales / multiple warehouses are not enabled for the test org; enabling them changes the shared org)</t>
  </si>
  <si>
    <t>VAN TC-EOD-01…05</t>
  </si>
  <si>
    <t>VAN TC-EOD-01…05 - End of day (Field Force van sales / multiple warehouses are not enabled for the test org; enabling them changes the shared org)</t>
  </si>
  <si>
    <t>payment</t>
  </si>
  <si>
    <t>payment/01_CustomerPayment.spec.js</t>
  </si>
  <si>
    <t>Customer Payment Flow</t>
  </si>
  <si>
    <t xml:space="preserve">TC01 - Creating a bulk payment against a customers due invoices and </t>
  </si>
  <si>
    <t>@payment @smoke</t>
  </si>
  <si>
    <t>TC02 - Creating payment against sales invoice via receive payment</t>
  </si>
  <si>
    <t>@payment</t>
  </si>
  <si>
    <t>purchase</t>
  </si>
  <si>
    <t>purchase/01_PurchaseFlow.spec.js</t>
  </si>
  <si>
    <t>Purchase Module Flow</t>
  </si>
  <si>
    <t>TC01 - Creating an Item with Open Stock in Invoice Module</t>
  </si>
  <si>
    <t>@purchase @smoke</t>
  </si>
  <si>
    <t>TC02 - Check the opening stock/current inventory of the created item, then create a purchase invoice for it, and verify the updated stock in the Inventory section of the Invoice module</t>
  </si>
  <si>
    <t>@purchase</t>
  </si>
  <si>
    <t>TC03 - Verify that the updated stock in the Stock Statement of the Fieldforce module matches the Inventory stock</t>
  </si>
  <si>
    <t>TC04 - Verify that the updated stock displayed in the Sales Invoice quantity alert of the Invoice module matches the Inventory stock</t>
  </si>
  <si>
    <t>TC05 - Verify that the updated stock in the Stock Adjustment quantities against the respective UOMs in the Inventory module matches the Item Inventory stock</t>
  </si>
  <si>
    <t>TC06 - Edit the created Purchase Invoice for the selected item, and verify that the updated stock is accurately reflected in the Inventory section of the Invoice module</t>
  </si>
  <si>
    <t>TC07 - Verify that the updated stock in the Stock Statement of the Fieldforce module matches the Inventory stock after editing the Purchase Invoice</t>
  </si>
  <si>
    <t>TC08 - Verify that the updated stock shown in the Sales Invoice quantity alert of the Invoice module matches the Inventory stock after editing the Purchase Invoice</t>
  </si>
  <si>
    <t>TC09 - Verify that the updated stock in the Stock Adjustment quantities against the respective UOMs of the Inventory module matches the Item Inventory stock after editing the Purchase Invoice</t>
  </si>
  <si>
    <t>TC10 - Delete the created Purchase Invoice for the selected item, and verify that the updated stock is accurately reflected in the Inventory section of the Invoice module</t>
  </si>
  <si>
    <t>TC11 - Verify that the updated stock in the Stock Statement of the Fieldforce module matches the Inventory stock after deleting the Purchase Invoice</t>
  </si>
  <si>
    <t>TC12 - Verify that the updated stock shown in the Sales Invoice quantity alert of the Invoice module matches the Inventory stock after deleting the Purchase Invoice</t>
  </si>
  <si>
    <t>TC13 - Verify that the updated stock in the Stock Adjustment quantities against the respective UOMs of the Inventory module matches the Item Inventory stock after deleting the Purchase Invoice</t>
  </si>
  <si>
    <t>TC14 - Create, edit, and delete the Purchase Invoice for the same item, and verify that the invoice amount is accurately reflected in the Vendor Due, Closing Balance, and Transaction Statement</t>
  </si>
  <si>
    <t>purchase/02_PurchaseInvoice.spec.js</t>
  </si>
  <si>
    <t>Purchase Invoice</t>
  </si>
  <si>
    <t>PI_FUNC_001 / PI_UI_001 / 002 / 004 / 005</t>
  </si>
  <si>
    <t>PI_FUNC_001 / PI_UI_001 / 002 / 004 / 005 - List loads with its tabs, columns, primary New button and row checkboxes</t>
  </si>
  <si>
    <t>@pi @purchase</t>
  </si>
  <si>
    <t>PI_FUNC_002 / PI_UI_008 / PI_NEG_001 / PI_VAL_001</t>
  </si>
  <si>
    <t>PI_FUNC_002 / PI_UI_008 / PI_NEG_001 / PI_VAL_001 - Vendor step: searchable vendor select with Next; Next without a vendor does not open the form</t>
  </si>
  <si>
    <t>PI_FUNC_003 / PI_UI_009 / 017 / 018 / PI_POS_012 / PI_VAL_012</t>
  </si>
  <si>
    <t>PI_FUNC_003 / PI_UI_009 / 017 / 018 / PI_POS_012 / PI_VAL_012 - Form: vendor, auto Bill No, today, 7 days → due +7, 30 days → due +30; billing address and unpaid warning shown</t>
  </si>
  <si>
    <t>PI_UI_010 / 011 / 012 / 013</t>
  </si>
  <si>
    <t>PI_UI_010 / 011 / 012 / 013 - Item table columns, pricing summary, tax-mode toggle and Cancel / Save as Draft / Save and Send</t>
  </si>
  <si>
    <t>PI_FUNC_004 / 006 / PI_POS_001 / 003 / PI_BL_005 / PI_BND_001</t>
  </si>
  <si>
    <t>PI_FUNC_004 / 006 / PI_POS_001 / 003 / PI_BL_005 / PI_BND_001 - One item (qty 1, GST 18%): totals correct; Save and Send lists it due with bill = due = total; stock up by the qty</t>
  </si>
  <si>
    <t>PI_FUNC_005 / PI_E2E_004</t>
  </si>
  <si>
    <t>PI_FUNC_005 / PI_E2E_004 - Draft: listed Draft, stock unchanged; Save and Send from edit: due status and stock up</t>
  </si>
  <si>
    <t>PI_FUNC_007 / 008 / 009 / PI_BL_016 / PI_E2E_002</t>
  </si>
  <si>
    <t>PI_FUNC_007 / 008 / 009 / PI_BL_016 / PI_E2E_002 - View panel opens; Edit pre-fills; qty 10 → 20 updates amount and stock</t>
  </si>
  <si>
    <t>PI_FUNC_010 / PI_BL_010 / 011 / PI_E2E_003</t>
  </si>
  <si>
    <t>PI_FUNC_010 / PI_BL_010 / 011 / PI_E2E_003 - Delete (⋮ menu + confirm): bill gone, stock and vendor due back</t>
  </si>
  <si>
    <t>PI_FUNC_012</t>
  </si>
  <si>
    <t>PI_FUNC_012 - Cancel on a new bill creates no record</t>
  </si>
  <si>
    <t>PI_FUNC_013 / 014</t>
  </si>
  <si>
    <t>PI_FUNC_013 / 014 - Add Row adds an empty row; removing a line recalculates the summary</t>
  </si>
  <si>
    <t>PI_FUNC_016 / PI_POS_002</t>
  </si>
  <si>
    <t>PI_FUNC_016 / PI_POS_002 - Change vendor: the new vendor and address load</t>
  </si>
  <si>
    <t>PI_FUNC_017 / PI_POS_011 / 020</t>
  </si>
  <si>
    <t>PI_FUNC_017 / PI_POS_011 / 020 - Notes and Reference Bill No are saved and shown in the view</t>
  </si>
  <si>
    <t>PI_FUNC_018</t>
  </si>
  <si>
    <t>PI_FUNC_018 - Terms &amp; Condition edited on the bill are saved and shown</t>
  </si>
  <si>
    <t>PI_POS_004 / PI_BL_020</t>
  </si>
  <si>
    <t>PI_POS_004 / PI_BL_020 - Totals with GST 28% + CESS on the base amount match the model and the saved Bill Amount</t>
  </si>
  <si>
    <t>PI_POS_005</t>
  </si>
  <si>
    <t>PI_POS_005 - Totals with 10% line discount match the model and the saved Bill Amount</t>
  </si>
  <si>
    <t>PI_POS_006 / PI_BL_014</t>
  </si>
  <si>
    <t>PI_POS_006 / PI_BL_014 - Totals with ₹345 line discount match the model and the saved Bill Amount</t>
  </si>
  <si>
    <t>PI_POS_007</t>
  </si>
  <si>
    <t>PI_POS_007 - Totals with shipping ₹500 match the model and the saved Bill Amount</t>
  </si>
  <si>
    <t>PI_POS_008 / PI_BL_013</t>
  </si>
  <si>
    <t>PI_POS_008 / PI_BL_013 - Totals with TDS match the model and the saved Bill Amount</t>
  </si>
  <si>
    <t>PI_POS_009</t>
  </si>
  <si>
    <t>PI_POS_009 - Totals with adjustment − ₹20.50 match the model and the saved Bill Amount</t>
  </si>
  <si>
    <t>PI_POS_010</t>
  </si>
  <si>
    <t>PI_POS_010 - Totals with adjustment + ₹20.50 match the model and the saved Bill Amount</t>
  </si>
  <si>
    <t>PI_POS_016 / PI_BL_017</t>
  </si>
  <si>
    <t>PI_POS_016 / PI_BL_017 - Totals with two items at 18% and 28% match the model and the saved Bill Amount</t>
  </si>
  <si>
    <t>PI_BL_003</t>
  </si>
  <si>
    <t>PI_BL_003 - Totals with Including Tax match the model and the saved Bill Amount</t>
  </si>
  <si>
    <t>PI_BND_004</t>
  </si>
  <si>
    <t>PI_BND_004 - Totals with 0% discount match the model and the saved Bill Amount</t>
  </si>
  <si>
    <t>PI_BND_005</t>
  </si>
  <si>
    <t>PI_BND_005 - Totals with 100% line discount match the model and the saved Bill Amount</t>
  </si>
  <si>
    <t>PI_BND_002 / 003</t>
  </si>
  <si>
    <t>PI_BND_002 / 003 - Totals with large quantity and rate match the model and the saved Bill Amount</t>
  </si>
  <si>
    <t>PI_BND_012</t>
  </si>
  <si>
    <t>PI_BND_012 - Totals with shipping 0 match the model and the saved Bill Amount</t>
  </si>
  <si>
    <t>PI_BND_013</t>
  </si>
  <si>
    <t>PI_BND_013 - Totals with decimal quantity 0.5 match the model and the saved Bill Amount</t>
  </si>
  <si>
    <t>PI_E2E_009</t>
  </si>
  <si>
    <t>PI_E2E_009 - Totals with discount + shipping + TDS + adjustment match the model and the saved Bill Amount</t>
  </si>
  <si>
    <t>PI_BND_006 / PI_PERF_008</t>
  </si>
  <si>
    <t>PI_BND_006 / PI_PERF_008 - Twenty item rows save without a problem</t>
  </si>
  <si>
    <t>PI_NEG_016</t>
  </si>
  <si>
    <t>PI_NEG_016 - TDS on a ₹0 taxable amount is ₹0 and the total is not negative</t>
  </si>
  <si>
    <t>PI_BND_007</t>
  </si>
  <si>
    <t>PI_BND_007 - Bill dated an early date (2000-01-01) saves</t>
  </si>
  <si>
    <t>PI_BND_008</t>
  </si>
  <si>
    <t>PI_BND_008 - Bill dated a far future date (+5 years) saves</t>
  </si>
  <si>
    <t>PI_POS_017 / PI_BL_012 / PI_UI_003 / PI_ACC_005</t>
  </si>
  <si>
    <t>PI_POS_017 / PI_BL_012 / PI_UI_003 / PI_ACC_005 - Status badges: overdue (red) for an old bill, days due (orange), Paid (green) — with text labels</t>
  </si>
  <si>
    <t>PI_FUNC_011 / PI_POS_014 / PI_UI_014 / PI_BL_007 / 008 / PI_E2E_001</t>
  </si>
  <si>
    <t>PI_FUNC_011 / PI_POS_014 / PI_UI_014 / PI_BL_007 / 008 / PI_E2E_001 - Make Payment in full: Paid, due ₹0; vendor due up by the bill then back down</t>
  </si>
  <si>
    <t>PI_POS_015 / PI_BL_019 / PI_E2E_005</t>
  </si>
  <si>
    <t>PI_POS_015 / PI_BL_019 / PI_E2E_005 - Three partial payments: due drops each time, Paid after the third</t>
  </si>
  <si>
    <t>PI_NEG_011 / PI_VAL_009</t>
  </si>
  <si>
    <t>PI_NEG_011 / PI_VAL_009 - Payment of ₹0 or letters is refused</t>
  </si>
  <si>
    <t>PI_NEG_012</t>
  </si>
  <si>
    <t>PI_NEG_012 - Payment above the due is refused or kept as vendor advance</t>
  </si>
  <si>
    <t>PI_BND_015</t>
  </si>
  <si>
    <t>PI_BND_015 - A ₹0.01 payment is accepted and reduces the due by ₹0.01</t>
  </si>
  <si>
    <t>PI_NEG_010</t>
  </si>
  <si>
    <t>PI_NEG_010 - A fully paid bill cannot be deleted</t>
  </si>
  <si>
    <t>PI_NEG_002 / PI_VAL_003</t>
  </si>
  <si>
    <t>PI_NEG_002 / PI_VAL_003 - Without items Save and Send / Save as Draft are disabled</t>
  </si>
  <si>
    <t>PI_NEG_003 / PI_VAL_004</t>
  </si>
  <si>
    <t>PI_NEG_003 / PI_VAL_004 - qty "0" is refused</t>
  </si>
  <si>
    <t>PI_NEG_004 / PI_VAL_004</t>
  </si>
  <si>
    <t>PI_NEG_004 / PI_VAL_004 - qty "-5" is refused</t>
  </si>
  <si>
    <t>PI_NEG_013</t>
  </si>
  <si>
    <t>PI_NEG_013 - qty "abc" is refused</t>
  </si>
  <si>
    <t>PI_NEG_005</t>
  </si>
  <si>
    <t>PI_NEG_005 - rate "-100" is refused</t>
  </si>
  <si>
    <t>PI_NEG_014 / PI_VAL_005</t>
  </si>
  <si>
    <t>PI_NEG_014 / PI_VAL_005 - rate "abc" is refused</t>
  </si>
  <si>
    <t>PI_NEG_006 / PI_VAL_006</t>
  </si>
  <si>
    <t>PI_NEG_006 / PI_VAL_006 - Line discount above 100% is refused or capped (total never below ₹0)</t>
  </si>
  <si>
    <t>PI_VAL_010</t>
  </si>
  <si>
    <t>PI_VAL_010 - Shipping cost rejects letters</t>
  </si>
  <si>
    <t>PI_NEG_007 / PI_VAL_007</t>
  </si>
  <si>
    <t>PI_NEG_007 / PI_VAL_007 - Saving without Place of Supply is refused</t>
  </si>
  <si>
    <t>PI_NEG_015 / PI_VAL_002 / 008</t>
  </si>
  <si>
    <t>PI_NEG_015 / PI_VAL_002 / 008 - Empty or invalid Bill Date is refused</t>
  </si>
  <si>
    <t>PI_VAL_015 / PI_NEG_017 / PI_SEC_005</t>
  </si>
  <si>
    <t>PI_VAL_015 / PI_NEG_017 / PI_SEC_005 - Reference Bill No: 300 characters truncated or refused; script text stored as plain text</t>
  </si>
  <si>
    <t>PI_SEC_004 / PI_BND_014</t>
  </si>
  <si>
    <t>PI_SEC_004 / PI_BND_014 - Notes: script text is not executed; 2,000 characters saved or limited</t>
  </si>
  <si>
    <t>PI_BL_001 / 002 / PI_E2E_007</t>
  </si>
  <si>
    <t>PI_BL_001 / 002 / PI_E2E_007 - Place of supply Tamil Nadu → CGST + SGST; Kerala → IGST</t>
  </si>
  <si>
    <t>PI_BL_009 / 014 / 015</t>
  </si>
  <si>
    <t>PI_BL_009 / 014 / 015 - Journal: total Debit = total Credit, with payable / tax / discount lines</t>
  </si>
  <si>
    <t>PI_SF_001 / 002 / 003 / 004 / 008 / 010</t>
  </si>
  <si>
    <t>PI_SF_001 / 002 / 003 / 004 / 008 / 010 - Search: exact, partial, case-insensitive, trimmed, vendor partial; clearing restores the list</t>
  </si>
  <si>
    <t>PI_NEG_008 / 018 / PI_SF_011 / PI_SEC_003 / PI_UI_020 / PI_VAL_011</t>
  </si>
  <si>
    <t>PI_NEG_008 / 018 / PI_SF_011 / PI_SEC_003 / PI_UI_020 / PI_VAL_011 - Unknown, special-character, SQL and very long searches: empty list, no crash</t>
  </si>
  <si>
    <t>PI_UI_007 / PI_PAG_001 / 002 / 003 / 004 / 005 / 006</t>
  </si>
  <si>
    <t>PI_UI_007 / PI_PAG_001 / 002 / 003 / 004 / 005 / 006 - Pagination: 20 per page, Next / Prev / page number, Prev disabled on page 1, Next disabled on the last page</t>
  </si>
  <si>
    <t>PI_PAG_007 / 008 / 009 / PI_SF_012</t>
  </si>
  <si>
    <t>PI_PAG_007 / 008 / 009 / PI_SF_012 - A vendor search resets to page 1 and the count follows the filter</t>
  </si>
  <si>
    <t>PI_PAG_010</t>
  </si>
  <si>
    <t>PI_PAG_010 - First three pages hold no duplicate bills</t>
  </si>
  <si>
    <t>PI_NEG_009 / PI_SF_005 / 006 / 007 / 009</t>
  </si>
  <si>
    <t>PI_NEG_009 / PI_SF_005 / 006 / 007 / 009 - Date range filter: start after end gives an error or nothing; a range limits the list; clearing restores it</t>
  </si>
  <si>
    <t>PI_EXP_001 / 009 / 010</t>
  </si>
  <si>
    <t>PI_EXP_001 / 009 / 010 - Ticking a bill shows Download; a due, a paid and an overdue bill each download as a PDF</t>
  </si>
  <si>
    <t>PI_EXP_007 / 008 / PI_E2E_008</t>
  </si>
  <si>
    <t>PI_EXP_007 / 008 / PI_E2E_008 - Bulk download of 3 bills: PDFs (or a zip) named after the bills</t>
  </si>
  <si>
    <t>PI_SEC_001 / 011</t>
  </si>
  <si>
    <t>PI_SEC_001 / 011 - Without a session the page redirects to login and the API answers 401</t>
  </si>
  <si>
    <t>PI_SEC_009</t>
  </si>
  <si>
    <t>PI_SEC_009 - No password or bearer token is written to the console while creating a bill</t>
  </si>
  <si>
    <t>PI_ACC_007 / 009</t>
  </si>
  <si>
    <t>PI_ACC_007 / 009 - Escape closes an open dropdown and the view panel</t>
  </si>
  <si>
    <t>PI_ACC_002</t>
  </si>
  <si>
    <t>PI_ACC_002 - New Purchase Invoice opens with the Enter key</t>
  </si>
  <si>
    <t>PI_UI_015</t>
  </si>
  <si>
    <t>PI_UI_015 - View panel shows Close, Print, Edit and the ⋮ menu</t>
  </si>
  <si>
    <t>PI_FUNC_015 / PI_POS_013 / PI_UI_016</t>
  </si>
  <si>
    <t>PI_FUNC_015 / PI_POS_013 / PI_UI_016 - Print / PDF preview content (Browser print dialog and PDF content need a PDF reader — not checked in the browser.)</t>
  </si>
  <si>
    <t>PI_EXP_002…006 / PI_E2E_006</t>
  </si>
  <si>
    <t>PI_EXP_002…006 / PI_E2E_006 - Downloaded PDF content (header, Bill To, items, tax, words) (PDF content checks need a PDF parser in the test project.)</t>
  </si>
  <si>
    <t>PI_POS_018 / PI_VAL_013</t>
  </si>
  <si>
    <t>PI_POS_018 / PI_VAL_013 - Warehouse B on the bill (Only one warehouse ("Default").)</t>
  </si>
  <si>
    <t>PI_POS_019 / PI_VAL_014</t>
  </si>
  <si>
    <t>PI_POS_019 / PI_VAL_014 - Add a vendor / vendor GSTIN (Vendor creation — Vendor sheet.)</t>
  </si>
  <si>
    <t>PI_BL_006 / 018</t>
  </si>
  <si>
    <t>PI_BL_006 / 018 - Service / non-inventory item has no stock movement (Needs a service item — Inventory_Product sheet.)</t>
  </si>
  <si>
    <t>PI_BND_009 / 010 / 011</t>
  </si>
  <si>
    <t>PI_BND_009 / 010 / 011 - Pagination with exactly 1 / 20 / 21 bills (Needs an org with a controlled number of bills.)</t>
  </si>
  <si>
    <t>PI_UI_006</t>
  </si>
  <si>
    <t>PI_UI_006 - Vendor avatar beside the name (Visual design check.)</t>
  </si>
  <si>
    <t>PI_UI_019</t>
  </si>
  <si>
    <t>PI_UI_019 - Loading state while the list loads (Timing-dependent visual check.)</t>
  </si>
  <si>
    <t>PI_SEC_002</t>
  </si>
  <si>
    <t>PI_SEC_002 - Session timeout (Needs a shortened session lifetime.)</t>
  </si>
  <si>
    <t>PI_SEC_006 / 007 / 012 / PI_E2E_010</t>
  </si>
  <si>
    <t>PI_SEC_006 / 007 / 012 / PI_E2E_010 - Role restrictions (No Accountant / read-only / inventory-manager users in the test data.)</t>
  </si>
  <si>
    <t>PI_SEC_008</t>
  </si>
  <si>
    <t>PI_SEC_008 - Another org's bill by URL (Needs a second org.)</t>
  </si>
  <si>
    <t>PI_SEC_010</t>
  </si>
  <si>
    <t>PI_SEC_010 - CSRF protection (API-level security test, not a UI test.)</t>
  </si>
  <si>
    <t>PI_PERF_001…007</t>
  </si>
  <si>
    <t>PI_PERF_001…007 - Response-time limits (Environment-dependent; not a functional check.)</t>
  </si>
  <si>
    <t>PI_ACC_001 / 003 / 004 / 006 / 008 / 010</t>
  </si>
  <si>
    <t>PI_ACC_001 / 003 / 004 / 006 / 008 / 010 - Tab order, screen reader, contrast, keyboard date picker (Needs an accessibility audit tool (axe) / screen reader.)</t>
  </si>
  <si>
    <t>purchase/03_PurchaseOrder.spec.js</t>
  </si>
  <si>
    <t>Purchase Order</t>
  </si>
  <si>
    <t>PO_FUNC_001 / PO_UI_001 / 002 / 004 / 005</t>
  </si>
  <si>
    <t>PO_FUNC_001 / PO_UI_001 / 002 / 004 / 005 - List: Order Date, Order No, Vendor Name, Status, Store Status, Bill Amount; primary New button; search placeholder</t>
  </si>
  <si>
    <t>@po @purchase</t>
  </si>
  <si>
    <t>PO_FUNC_002 / PO_NEG_001 / PO_VAL_001</t>
  </si>
  <si>
    <t>PO_FUNC_002 / PO_NEG_001 / PO_VAL_001 - Vendor step; Next without a vendor does not open the form</t>
  </si>
  <si>
    <t>PO_FUNC_003 / PO_POS_002 / 003 / PO_UI_006 / 007 / 008 / 012 / PO_VAL_015(no)</t>
  </si>
  <si>
    <t>PO_FUNC_003 / PO_POS_002 / 003 / PO_UI_006 / 007 / 008 / 012 / PO_VAL_015(no) - Form: auto PO-AUTO/NNNN (+1 each), transports Road / Rail / Air / Ship, PO Date + Delivery Date (no Due Date), only Cancel + Save and Send</t>
  </si>
  <si>
    <t>PO_UI_009 / 010 / 011 / PO_POS_017</t>
  </si>
  <si>
    <t>PO_UI_009 / 010 / 011 / PO_POS_017 - Item columns, tax-mode toggle, pricing summary and the unpaid-bills warning</t>
  </si>
  <si>
    <t>PO_FUNC_004 / 005 / 006 / PO_POS_001 / 004 / 012 / PO_UI_003 / 014 / 015 / 016 / 017</t>
  </si>
  <si>
    <t>PO_FUNC_004 / 005 / 006 / PO_POS_001 / 004 / 012 / PO_UI_003 / 014 / 015 / 016 / 017 - Order with Rail + delivery date: listed Pending; view shows #number, PO / Delivery Date, Mode of Transport, vendor and Ship To, Close / Print / Edit / Delete</t>
  </si>
  <si>
    <t>PO_FUNC_009 / 010 / PO_POS_019 / 020</t>
  </si>
  <si>
    <t>PO_FUNC_009 / 010 / PO_POS_019 / 020 - Edit: pre-filled; qty, transport and delivery date changes saved</t>
  </si>
  <si>
    <t>PO_FUNC_011 / PO_BL_017 / PO_E2E_006</t>
  </si>
  <si>
    <t>PO_FUNC_011 / PO_BL_017 / PO_E2E_006 - Delete: order gone; stock unchanged</t>
  </si>
  <si>
    <t>PO_FUNC_013</t>
  </si>
  <si>
    <t>PO_FUNC_013 - Cancel on a new order creates no record</t>
  </si>
  <si>
    <t>PO_FUNC_014 / 015</t>
  </si>
  <si>
    <t>PO_FUNC_014 / 015 - Add Row adds a row; removing a line recalculates the summary</t>
  </si>
  <si>
    <t>PO_POS_011 / PO_NEG_017 / PO_SEC_004 / 005</t>
  </si>
  <si>
    <t>PO_POS_011 / PO_NEG_017 / PO_SEC_004 / 005 - Reference Bill No and notes saved; script text not executed</t>
  </si>
  <si>
    <t>PO_UI_018</t>
  </si>
  <si>
    <t>PO_UI_018 - "Show Tax &amp; Total" toggles the tax breakdown in the view</t>
  </si>
  <si>
    <t>PO_POS_005 / PO_BND_001</t>
  </si>
  <si>
    <t>PO_POS_005 / PO_BND_001 - Order totals with GST 18% (qty 100 × ₹65) match the model and the saved Bill Amount</t>
  </si>
  <si>
    <t>PO_POS_006 / PO_BL_010</t>
  </si>
  <si>
    <t>PO_POS_006 / PO_BL_010 - Order totals with GST 28% + CESS on the base match the model and the saved Bill Amount</t>
  </si>
  <si>
    <t>PO_POS_007</t>
  </si>
  <si>
    <t>PO_POS_007 - Order totals with overall % discount match the model and the saved Bill Amount</t>
  </si>
  <si>
    <t>PO_POS_008</t>
  </si>
  <si>
    <t>PO_POS_008 - Order totals with shipping ₹4,500 match the model and the saved Bill Amount</t>
  </si>
  <si>
    <t>PO_POS_009</t>
  </si>
  <si>
    <t>PO_POS_009 - Order totals with adjustment + ₹3,400 match the model and the saved Bill Amount</t>
  </si>
  <si>
    <t>PO_POS_016 / PO_BL_009 / 015</t>
  </si>
  <si>
    <t>PO_POS_016 / PO_BL_009 / 015 - Order totals with Including Tax match the model and the saved Bill Amount</t>
  </si>
  <si>
    <t>PO_BL_011</t>
  </si>
  <si>
    <t>PO_BL_011 - Order totals with TDS match the model and the saved Bill Amount</t>
  </si>
  <si>
    <t>PO_BL_016</t>
  </si>
  <si>
    <t>PO_BL_016 - Order totals with two slabs 5% / 18% match the model and the saved Bill Amount</t>
  </si>
  <si>
    <t>PO_BL_020</t>
  </si>
  <si>
    <t>PO_BL_020 - Order totals with 10% line discount before tax match the model and the saved Bill Amount</t>
  </si>
  <si>
    <t>PO_BND_002 / 003</t>
  </si>
  <si>
    <t>PO_BND_002 / 003 - Order totals with very large qty and rate match the model and the saved Bill Amount</t>
  </si>
  <si>
    <t>PO_BND_004 / 013</t>
  </si>
  <si>
    <t>PO_BND_004 / 013 - Order totals with 0% discount and no shipping match the model and the saved Bill Amount</t>
  </si>
  <si>
    <t>PO_BND_005</t>
  </si>
  <si>
    <t>PO_BND_005 - Order totals with 100% line discount match the model and the saved Bill Amount</t>
  </si>
  <si>
    <t>PO_BND_012</t>
  </si>
  <si>
    <t>PO_BND_012 - Order totals with decimal qty 0.5 match the model and the saved Bill Amount</t>
  </si>
  <si>
    <t>PO_POS_010</t>
  </si>
  <si>
    <t>PO_POS_010 - Round off makes the grand total a whole rupee</t>
  </si>
  <si>
    <t>PO_BND_006 / 015 / PO_PERF_008</t>
  </si>
  <si>
    <t>PO_BND_006 / 015 / PO_PERF_008 - 50 item rows save; converting that order loads all 50 lines</t>
  </si>
  <si>
    <t>PO_BND_007 / 008</t>
  </si>
  <si>
    <t>PO_BND_007 / 008 - PO dated 2000-01-01 with delivery 2099-12-31 saves</t>
  </si>
  <si>
    <t>PO_BND_014 / PO_NEG_007</t>
  </si>
  <si>
    <t>PO_BND_014 / PO_NEG_007 - TDS on ₹0 / discount above the total: total never negative</t>
  </si>
  <si>
    <t>PO_BL_001 / 002 / 003 / 013 / PO_E2E_002</t>
  </si>
  <si>
    <t>PO_BL_001 / 002 / 003 / 013 / PO_E2E_002 - Saving and editing an order moves no stock, posts no journal, leaves the vendor due</t>
  </si>
  <si>
    <t>PO_FUNC_008 / 016 / 018 / PO_POS_013 / 014 / 015 / PO_UI_019 / PO_BL_006 / 007 / 008 / 014 / PO_E2E_004 / 007</t>
  </si>
  <si>
    <t>PO_FUNC_008 / 016 / 018 / PO_POS_013 / 014 / 015 / PO_UI_019 / PO_BL_006 / 007 / 008 / 014 / PO_E2E_004 / 007 - Convert To Invoice: vendor, items, place of supply and Ref = PO no carried; Save and Send posts stock, vendor due and journal</t>
  </si>
  <si>
    <t>PO_FUNC_017 / PO_E2E_003</t>
  </si>
  <si>
    <t>PO_FUNC_017 / PO_E2E_003 - Converted invoice saved as Draft: listed Draft, no stock yet</t>
  </si>
  <si>
    <t>PO_BL_018 / PO_NEG_010</t>
  </si>
  <si>
    <t>PO_BL_018 / PO_NEG_010 - A converted order cannot be converted again or deleted</t>
  </si>
  <si>
    <t>PO_E2E_005</t>
  </si>
  <si>
    <t>PO_E2E_005 - Two orders converted separately: two invoices, vendor due up by both</t>
  </si>
  <si>
    <t>PO_NEG_002 / PO_VAL_003</t>
  </si>
  <si>
    <t>PO_NEG_002 / PO_VAL_003 - Without items Save and Send is disabled</t>
  </si>
  <si>
    <t>PO_NEG_003</t>
  </si>
  <si>
    <t>PO_NEG_003 - qty "0" is refused</t>
  </si>
  <si>
    <t>PO_NEG_004</t>
  </si>
  <si>
    <t>PO_NEG_004 - qty "-5" is refused</t>
  </si>
  <si>
    <t>PO_NEG_011</t>
  </si>
  <si>
    <t>PO_NEG_011 - qty "abc" is refused</t>
  </si>
  <si>
    <t>PO_NEG_005</t>
  </si>
  <si>
    <t>PO_NEG_005 - rate "-100" is refused</t>
  </si>
  <si>
    <t>PO_NEG_012 / PO_VAL_005</t>
  </si>
  <si>
    <t>PO_NEG_012 / PO_VAL_005 - rate "abc" is refused</t>
  </si>
  <si>
    <t>PO_NEG_013 / PO_VAL_006</t>
  </si>
  <si>
    <t>PO_NEG_013 / PO_VAL_006 - Line discount 110% is refused or capped</t>
  </si>
  <si>
    <t>PO_VAL_010 / 011</t>
  </si>
  <si>
    <t>PO_VAL_010 / 011 - Shipping and adjustment reject letters</t>
  </si>
  <si>
    <t>PO_VAL_009</t>
  </si>
  <si>
    <t>PO_VAL_009 - A delivery date before the PO date is refused</t>
  </si>
  <si>
    <t>PO_NEG_006 / PO_VAL_007</t>
  </si>
  <si>
    <t>PO_NEG_006 / PO_VAL_007 - No Place of Supply: save refused</t>
  </si>
  <si>
    <t>PO_NEG_015 / PO_VAL_002 / 008</t>
  </si>
  <si>
    <t>PO_NEG_015 / PO_VAL_002 / 008 - Empty PO Date is refused</t>
  </si>
  <si>
    <t>PO_NEG_016</t>
  </si>
  <si>
    <t>PO_NEG_016 - Converting an order whose items were all removed is blocked</t>
  </si>
  <si>
    <t>PO_VAL_014 / PO_NEG_008 / 014 / 018 / PO_SEC_003 / PO_UI_020</t>
  </si>
  <si>
    <t>PO_VAL_014 / PO_NEG_008 / 014 / 018 / PO_SEC_003 / PO_UI_020 - Unknown, special, SQL and long searches: empty list, no crash</t>
  </si>
  <si>
    <t>PO_SF_001 / 002 / 003 / 004 / 008 / 012</t>
  </si>
  <si>
    <t>PO_SF_001 / 002 / 003 / 004 / 008 / 012 - Search by exact / partial number, vendor (any case, trimmed); clearing restores</t>
  </si>
  <si>
    <t>PO_SF_005 / 006 / 009 / 011 / PO_NEG_009 / PO_PAG_010</t>
  </si>
  <si>
    <t>PO_SF_005 / 006 / 009 / 011 / PO_NEG_009 / PO_PAG_010 - Date range filter (incl. same start and end day) limits the list; reversed range gives nothing / an error</t>
  </si>
  <si>
    <t>PO_SEC_001 / 011</t>
  </si>
  <si>
    <t>PO_SEC_001 / 011 - Without a session the page redirects to login and the API answers 401</t>
  </si>
  <si>
    <t>PO_SEC_012</t>
  </si>
  <si>
    <t>PO_SEC_012 - No password or bearer token in the console while creating an order</t>
  </si>
  <si>
    <t>PO_ACC_002 / 005 / 007 / 009 / 010</t>
  </si>
  <si>
    <t>PO_ACC_002 / 005 / 007 / 009 / 010 - Keyboard: Enter opens New PO, Escape closes dropdown and view, Convert reachable; status has a text label</t>
  </si>
  <si>
    <t>PO_FUNC_012 / PO_EXP_001…010 / PO_E2E_009</t>
  </si>
  <si>
    <t>PO_FUNC_012 / PO_EXP_001…010 / PO_E2E_009 - Print preview and printed content (Browser print dialog / PDF content are not checkable in the browser.)</t>
  </si>
  <si>
    <t>PO_POS_018 / PO_VAL_012</t>
  </si>
  <si>
    <t>PO_POS_018 / PO_VAL_012 - Add New Vendor / vendor GSTIN from the PO (Vendor creation — Vendor sheet.)</t>
  </si>
  <si>
    <t>PO_VAL_013</t>
  </si>
  <si>
    <t>PO_VAL_013 - Warehouse required for stock items (Only one warehouse ("Default").)</t>
  </si>
  <si>
    <t>PO_BL_012</t>
  </si>
  <si>
    <t>PO_BL_012 - Round off posts to the Round Off account on conversion (Covered by PI_BL_015 (same invoice journal).)</t>
  </si>
  <si>
    <t>PO_BL_019</t>
  </si>
  <si>
    <t>PO_BL_019 - Service item in a PO has no stock impact (Needs a service item — Inventory_Product sheet.)</t>
  </si>
  <si>
    <t>PO_BND_009 / 010 / PO_PAG_001…009</t>
  </si>
  <si>
    <t>PO_BND_009 / 010 / PO_PAG_001…009 - Pagination boundaries / navigation (Same list component as Purchase Invoice — PI_PAG_*; exact counts need a controlled org.)</t>
  </si>
  <si>
    <t>PO_BND_011</t>
  </si>
  <si>
    <t>PO_BND_011 - Notes maximum length (Covered by PI_BND_014 (same form).)</t>
  </si>
  <si>
    <t>PO_SEC_002</t>
  </si>
  <si>
    <t>PO_SEC_002 - Session timeout (Needs a shortened session lifetime.)</t>
  </si>
  <si>
    <t>PO_SEC_006 / 007 / 009 / PO_E2E_010</t>
  </si>
  <si>
    <t>PO_SEC_006 / 007 / 009 / PO_E2E_010 - Role restrictions (No role-restricted users in the test data.)</t>
  </si>
  <si>
    <t>PO_SEC_008</t>
  </si>
  <si>
    <t>PO_SEC_008 - Another org's PO by URL (Needs a second org.)</t>
  </si>
  <si>
    <t>PO_SEC_010</t>
  </si>
  <si>
    <t>PO_SEC_010 - CSRF protection (API-level security test.)</t>
  </si>
  <si>
    <t>PO_PERF_001…007</t>
  </si>
  <si>
    <t>PO_PERF_001…007 - Response-time limits (Environment-dependent; not a functional check.)</t>
  </si>
  <si>
    <t>PO_ACC_001 / 003 / 004 / 006 / 008</t>
  </si>
  <si>
    <t>PO_ACC_001 / 003 / 004 / 006 / 008 - Tab order, screen reader, contrast, keyboard date picker (Needs an accessibility audit tool / screen reader.)</t>
  </si>
  <si>
    <t>PO_E2E_008</t>
  </si>
  <si>
    <t>PO_E2E_008 - Converted invoice inherits every pricing field (Covered by PO_FUNC_008 (items / ref) and the shared totals model.)</t>
  </si>
  <si>
    <t>purchase/04_PaymentMade.spec.js</t>
  </si>
  <si>
    <t>Payment Made</t>
  </si>
  <si>
    <t>PAY_FUNC_001 / PAY_POS_001 / 011 / PAY_UI_001 / 004 / 019</t>
  </si>
  <si>
    <t>PAY_FUNC_001 / PAY_POS_001 / 011 / PAY_UI_001 / 004 / 019 - List: Date, Bill No (PAY-AUTO/NNNN), Vendor Name, Mode, Amount; primary New Payment Made; Total Count</t>
  </si>
  <si>
    <t>@pm @purchase</t>
  </si>
  <si>
    <t>PAY_POS_017 / PAY_PAG_010 / PAY_UI_019</t>
  </si>
  <si>
    <t>PAY_POS_017 / PAY_PAG_010 / PAY_UI_019 - Footer shows the total amount of all payments</t>
  </si>
  <si>
    <t>PAY_UI_002 / 003 / PAY_ACC_005</t>
  </si>
  <si>
    <t>PAY_UI_002 / 003 / PAY_ACC_005 - Mode of Payment is a text badge; vendor has an avatar</t>
  </si>
  <si>
    <t>PAY_FUNC_002 / PAY_UI_005 / PAY_NEG_001 / PAY_ACC_002</t>
  </si>
  <si>
    <t>PAY_FUNC_002 / PAY_UI_005 / PAY_NEG_001 / PAY_ACC_002 - New Payment Made opens with Enter: vendor search and Next, Next disabled without a vendor</t>
  </si>
  <si>
    <t>PAY_FUNC_003 / 004 / PAY_BL_018 / 020 / PAY_UI_006 / 007 / 008 / 009 / 010 / 011</t>
  </si>
  <si>
    <t>PAY_FUNC_003 / 004 / PAY_BL_018 / 020 / PAY_UI_006 / 007 / 008 / 009 / 010 / 011 - Form: header, due = vendor due, pending cheque ₹0, due bills only (paid bill not listed)</t>
  </si>
  <si>
    <t>PAY_FUNC_006 / PAY_POS_004 / PAY_BL_010 / PAY_BND_005 / 015</t>
  </si>
  <si>
    <t>PAY_FUNC_006 / PAY_POS_004 / PAY_BL_010 / PAY_BND_005 / 015 - OK on the prompt fills the bills oldest first (up to 21 bills)</t>
  </si>
  <si>
    <t>PAY_FUNC_005 / PAY_POS_006 / PAY_BND_001 / PAY_E2E_004 / PAY_ACC_008</t>
  </si>
  <si>
    <t>PAY_FUNC_005 / PAY_POS_006 / PAY_BND_001 / PAY_E2E_004 / PAY_ACC_008 - Pay Full Amount (Space key) fills the total due, excess ₹0</t>
  </si>
  <si>
    <t>PAY_POS_005 / PAY_BND_003 / PAY_BL_002</t>
  </si>
  <si>
    <t>PAY_POS_005 / PAY_BND_003 / PAY_BL_002 - Paid above the total due: used = due, excess = the rest (₹99,99,99,999)</t>
  </si>
  <si>
    <t>PAY_FUNC_008 / 009 / 016 / PAY_POS_003 / 008 / 019 / 020 / PAY_BL_001 / 005 / 015 / PAY_UI_013 / 014</t>
  </si>
  <si>
    <t>PAY_FUNC_008 / 009 / 016 / PAY_POS_003 / 008 / 019 / 020 / PAY_BL_001 / 005 / 015 / PAY_UI_013 / 014 - Partial payment: list (Cash), bill due down by the row amount, vendor due down, excess to advance; view breakdown</t>
  </si>
  <si>
    <t>PAY_POS_002 / PAY_BND_004 / PAY_BL_012 / 016 / PAY_E2E_007</t>
  </si>
  <si>
    <t>PAY_POS_002 / PAY_BND_004 / PAY_BL_012 / 016 / PAY_E2E_007 - Three bulk payments on one bill: due drops each time, Paid after the last; all three listed for the vendor</t>
  </si>
  <si>
    <t>PAY_FUNC_007 / PAY_NEG_014 / PAY_E2E_003 / PAY_BL_011</t>
  </si>
  <si>
    <t>PAY_FUNC_007 / PAY_NEG_014 / PAY_E2E_003 / PAY_BL_011 - Cancel on the prompt: all in excess; bill unchanged, vendor advance up; journal balanced with an advance line</t>
  </si>
  <si>
    <t>PAY_POS_012 / PAY_UI_015 / PAY_BL_003 / 017</t>
  </si>
  <si>
    <t>PAY_POS_012 / PAY_UI_015 / PAY_BL_003 / 017 - Journal of a bill payment: Account / Debit / Credit, debit = credit</t>
  </si>
  <si>
    <t>PAY_POS_007 / 009 / 010 / PAY_EXP_007 / 008</t>
  </si>
  <si>
    <t>PAY_POS_007 / 009 / 010 / PAY_EXP_007 / 008 - Bank Transfer shows as Bank Transfer; Reference No and notes are kept</t>
  </si>
  <si>
    <t>PAY_FUNC_011 / 012 / PAY_BND_012</t>
  </si>
  <si>
    <t>PAY_FUNC_011 / 012 / PAY_BND_012 - Edit: prefilled; raise the bill amount 500 → 800 (due down 300), then cut to ₹0.01 (due restored)</t>
  </si>
  <si>
    <t>PAY_FUNC_013 / PAY_NEG_010</t>
  </si>
  <si>
    <t>PAY_FUNC_013 / PAY_NEG_010 - Delete a payment that cleared a bill: payment gone, bill due and vendor due restored</t>
  </si>
  <si>
    <t>PAY_FUNC_017</t>
  </si>
  <si>
    <t>PAY_FUNC_017 - Cancel on a filled new payment returns to the list without saving</t>
  </si>
  <si>
    <t>PAY_BND_002</t>
  </si>
  <si>
    <t>PAY_BND_002 - A ₹0.01 bulk payment reduces the bill due by ₹0.01</t>
  </si>
  <si>
    <t>PAY_BND_010</t>
  </si>
  <si>
    <t>PAY_BND_010 - Payment dated on the financial-year boundary (31 Mar 2026) is saved with that date</t>
  </si>
  <si>
    <t>PAY_FUNC_009 / 018 / PAY_UI_013 / 014 / 016 / PAY_ACC_009 / PAY_EXP_004 / 005 / 006</t>
  </si>
  <si>
    <t>PAY_FUNC_009 / 018 / PAY_UI_013 / 014 / 016 / PAY_ACC_009 / PAY_EXP_004 / 005 / 006 - View: Close / Print / Edit / Delete, vendor, PAY no, breakdown, summary; Close and Escape close it</t>
  </si>
  <si>
    <t>PAY_FUNC_010 / PAY_EXP_001</t>
  </si>
  <si>
    <t>PAY_FUNC_010 / PAY_EXP_001 - Print in the view opens the print preview</t>
  </si>
  <si>
    <t>PAY_E2E_010 / PAY_BL_013 / PAY_EXP_010</t>
  </si>
  <si>
    <t>PAY_E2E_010 / PAY_BL_013 / PAY_EXP_010 - Make Payment from the bill creates a Payment Made entry with the bill and a balanced journal</t>
  </si>
  <si>
    <t>PAY_NEG_002 / 003 / 004</t>
  </si>
  <si>
    <t>PAY_NEG_002 / 003 / 004 - Save with nothing filled: Paid Amount, Payment Mode and Account required</t>
  </si>
  <si>
    <t>PAY_NEG_005 / 009 / 013</t>
  </si>
  <si>
    <t>PAY_NEG_005 / 009 / 013 - Paid Amount and bill Payment refuse "-" and letters</t>
  </si>
  <si>
    <t>PAY_NEG_008</t>
  </si>
  <si>
    <t>PAY_NEG_008 - Paid Amount ₹0 is refused</t>
  </si>
  <si>
    <t>PAY_NEG_006 / 007 / PAY_UI_012 / PAY_VAL_015</t>
  </si>
  <si>
    <t>PAY_NEG_006 / 007 / PAY_UI_012 / PAY_VAL_015 - Bill payment above the paid amount: error, save blocked</t>
  </si>
  <si>
    <t>PAY_BND_013 / 014</t>
  </si>
  <si>
    <t>PAY_BND_013 / 014 - Paid Amount keeps 2 decimals (5000.75); a 3rd decimal is rounded or refused</t>
  </si>
  <si>
    <t>PAY_VAL_009 / 010</t>
  </si>
  <si>
    <t>PAY_VAL_009 / 010 - Bill No is auto and read-only; an empty Bill Date is refused</t>
  </si>
  <si>
    <t>PAY_NEG_015 / PAY_SEC_005 / PAY_BND_008 / 009</t>
  </si>
  <si>
    <t>PAY_NEG_015 / PAY_SEC_005 / PAY_BND_008 / 009 - Script text in notes (≤ 250 chars) / long reference stored as text; nothing runs</t>
  </si>
  <si>
    <t>PAY_SF_001 / 002 / 003 / 004 / 008 / 010 / 011 / 012 / PAY_NEG_011 / 016</t>
  </si>
  <si>
    <t>PAY_SF_001 / 002 / 003 / 004 / 008 / 010 / 011 / 012 / PAY_NEG_011 / 016 - Search: exact, partial, vendor, case, trimmed, no match, SQL text; count follows; clearing restores</t>
  </si>
  <si>
    <t>PAY_SF_005 / 006 / 007 / 009 / PAY_NEG_012</t>
  </si>
  <si>
    <t>PAY_SF_005 / 006 / 007 / 009 / PAY_NEG_012 - Date filter: reversed range gives nothing / error; today–today only today; with vendor search; reload restores</t>
  </si>
  <si>
    <t>PAY_PAG_001…009 / PAY_BND_006 / 007</t>
  </si>
  <si>
    <t>PAY_PAG_001…009 / PAY_BND_006 / 007 - Pagination: 20 per page, next / previous / page number, no duplicates (one page when ≤ 20)</t>
  </si>
  <si>
    <t>PAY_SEC_001 / 009</t>
  </si>
  <si>
    <t>PAY_SEC_001 / 009 - Without a session: redirected to login, no payments shown, the payments API refuses</t>
  </si>
  <si>
    <t>PAY_ACC_007</t>
  </si>
  <si>
    <t>PAY_ACC_007 - Escape closes the Payment Mode dropdown</t>
  </si>
  <si>
    <t>PAY_FUNC_003 (other vendor)</t>
  </si>
  <si>
    <t>PAY_FUNC_003 (other vendor) - Another vendor's bills not listed (Only one test vendor; the due list is checked against paid / unpaid bills of it.)</t>
  </si>
  <si>
    <t>PAY_POS_016 / PAY_BL_014 / PAY_E2E_008</t>
  </si>
  <si>
    <t>PAY_POS_016 / PAY_BL_014 / PAY_E2E_008 - Vendor advance applied to a new bill (No control to apply a vendor advance on the purchase side.)</t>
  </si>
  <si>
    <t>PAY_UI_020</t>
  </si>
  <si>
    <t>PAY_UI_020 - Empty state with no payments (The org already has payments.)</t>
  </si>
  <si>
    <t>PAY_EXP_002 / 003 / 009</t>
  </si>
  <si>
    <t>PAY_EXP_002 / 003 / 009 - Printed content (company header, title, journal) (Browser print preview content needs a PDF reader.)</t>
  </si>
  <si>
    <t>PAY_SEC_002</t>
  </si>
  <si>
    <t>PAY_SEC_002 - Session timeout (Needs a shortened session lifetime.)</t>
  </si>
  <si>
    <t>PAY_SEC_006 / 007</t>
  </si>
  <si>
    <t>PAY_SEC_006 / 007 - View-only / Accountant role restrictions (No such users in the test data.)</t>
  </si>
  <si>
    <t>PAY_SEC_008 / 011</t>
  </si>
  <si>
    <t>PAY_SEC_008 / 011 - Another org's payments / vendors (Needs a second org.)</t>
  </si>
  <si>
    <t>PAY_SEC_010 / 012</t>
  </si>
  <si>
    <t>PAY_SEC_010 / 012 - CSRF / DevTools-manipulated amount (API-level security tests, not UI tests.)</t>
  </si>
  <si>
    <t>PAY_PERF_001…008</t>
  </si>
  <si>
    <t>PAY_PERF_001…008 - Response-time limits (Environment-dependent; not a functional check.)</t>
  </si>
  <si>
    <t>PAY_ACC_001 / 003 / 004 / 006</t>
  </si>
  <si>
    <t>PAY_ACC_001 / 003 / 004 / 006 - Tab order, screen reader, contrast (Needs an accessibility audit tool (axe) / screen reader.)</t>
  </si>
  <si>
    <t>purchase/05_Vendor.spec.js</t>
  </si>
  <si>
    <t>Vendor</t>
  </si>
  <si>
    <t>VND_FUNC_001 / VND_UI_001 / 013 / VND_SF_001 / 002 / 003 / 004 / 005 / VND_SEC_004</t>
  </si>
  <si>
    <t>VND_FUNC_001 / VND_UI_001 / 013 / VND_SF_001 / 002 / 003 / 004 / 005 / VND_SEC_004 - Vendor list with search: exact, partial, case-insensitive, no match, SQL text, clear</t>
  </si>
  <si>
    <t>@purchase @vendor</t>
  </si>
  <si>
    <t>VND_NEG_001 / VND_VAL_001</t>
  </si>
  <si>
    <t>VND_NEG_001 / VND_VAL_001 - Save with nothing filled: Name, Business Type, Category and GST Status required</t>
  </si>
  <si>
    <t>VND_FUNC_002 / VND_POS_001 / VND_BND_002 / 008 / VND_VAL_016 / VND_E2E_001 / 012</t>
  </si>
  <si>
    <t>VND_FUNC_002 / VND_POS_001 / VND_BND_002 / 008 / VND_VAL_016 / VND_E2E_001 / 012 - New vendor (opening ₹0) is listed; Due / Advance / Closing ₹0; statement empty; advance not a link</t>
  </si>
  <si>
    <t>VND_E2E_001 / VND_BL_002 / 013 / VND_FUNC_014 / PAY_POS_018 / PAY_BL_006</t>
  </si>
  <si>
    <t>VND_E2E_001 / VND_BL_002 / 013 / VND_FUNC_014 / PAY_POS_018 / PAY_BL_006 - New vendor with opening balance: first statement row; a bill adds to the due; Payment Made lists the opening balance</t>
  </si>
  <si>
    <t>VND_NEG_004 / VND_VAL_002 / VND_SEC_006</t>
  </si>
  <si>
    <t>VND_NEG_004 / VND_VAL_002 / VND_SEC_006 - Invalid email (incl. script text) is refused</t>
  </si>
  <si>
    <t>VND_NEG_005 / VND_VAL_003</t>
  </si>
  <si>
    <t>VND_NEG_005 / VND_VAL_003 - Registered with an invalid GSTIN is refused</t>
  </si>
  <si>
    <t>VND_NEG_010 / 011 / VND_VAL_008 / VND_BND_009</t>
  </si>
  <si>
    <t>VND_NEG_010 / 011 / VND_VAL_008 / VND_BND_009 - Opening balance: "-" and letters refused; ₹99,99,99,999 saved and shown</t>
  </si>
  <si>
    <t>VND_NEG_014 / VND_SEC_005 / VND_BND_001</t>
  </si>
  <si>
    <t>VND_NEG_014 / VND_SEC_005 / VND_BND_001 - Script text / 150-character name: nothing runs; saved as text or limited</t>
  </si>
  <si>
    <t>VND_NEG_018</t>
  </si>
  <si>
    <t>VND_NEG_018 - A second vendor with the same name is warned about or refused</t>
  </si>
  <si>
    <t>VND_FUNC_003 / 004 / VND_UI_003 / 004 / 005 / VND_ACC_002</t>
  </si>
  <si>
    <t>VND_FUNC_003 / 004 / VND_UI_003 / 004 / 005 / VND_ACC_002 - Vendor page: Due / Advance / Closing, three tabs (keyboard), statement columns</t>
  </si>
  <si>
    <t>VND_POS_002 / VND_VAL_007 / VND_BL_001</t>
  </si>
  <si>
    <t>VND_POS_002 / VND_VAL_007 / VND_BL_001 - Closing Balance = Due − Advance</t>
  </si>
  <si>
    <t>VND_POS_003 / 011 / VND_VAL_010 / VND_BL_008 / 017 / 018 / VND_E2E_009</t>
  </si>
  <si>
    <t>VND_POS_003 / 011 / VND_VAL_010 / VND_BL_008 / 017 / 018 / VND_E2E_009 - Statement: running balance = previous + amount − payment; last row = Closing Balance</t>
  </si>
  <si>
    <t>VND_FUNC_005 / VND_VAL_013 / 014 / VND_UI_014 / VND_POS_006</t>
  </si>
  <si>
    <t>VND_FUNC_005 / VND_VAL_013 / 014 / VND_UI_014 / VND_POS_006 - Purchase Invoice tab: columns, due ≤ bill, Paid → ₹0; footer count and totals match the rows</t>
  </si>
  <si>
    <t>VND_FUNC_006 / VND_VAL_015 / VND_POS_012 / VND_UI_007</t>
  </si>
  <si>
    <t>VND_FUNC_006 / VND_VAL_015 / VND_POS_012 / VND_UI_007 - Payment Made tab: columns, mode text, footer count and total = sum</t>
  </si>
  <si>
    <t>VND_FUNC_007 / 008 / VND_UI_009 / VND_POS_004 / VND_VAL_011 / VND_E2E_007</t>
  </si>
  <si>
    <t>VND_FUNC_007 / 008 / VND_UI_009 / VND_POS_004 / VND_VAL_011 / VND_E2E_007 - Create → Invoice: vendor pre-selected; saved bill in statement and Purchase Invoice tab, due up</t>
  </si>
  <si>
    <t>VND_FUNC_009 / VND_POS_005 / 006 / VND_VAL_012 / VND_BL_003 / 007 / VND_E2E_002 / 008</t>
  </si>
  <si>
    <t>VND_FUNC_009 / VND_POS_005 / 006 / VND_VAL_012 / VND_BL_003 / 007 / VND_E2E_002 / 008 - Create → Payment: vendor pre-selected; paying a bill in full lowers the due, bill Paid, payment listed (Cash)</t>
  </si>
  <si>
    <t>VND_POS_008 / VND_BL_004</t>
  </si>
  <si>
    <t>VND_POS_008 / VND_BL_004 - Advance payment: Advance up, Due unchanged, Closing down</t>
  </si>
  <si>
    <t>VND_FUNC_018 / VND_UI_008 / 012</t>
  </si>
  <si>
    <t>VND_FUNC_018 / VND_UI_008 / 012 - Advance amount is a link that opens the Advance Breakdown</t>
  </si>
  <si>
    <t>VND_FUNC_010 / 022 / VND_UI_010 / VND_VAL_018 / VND_SEC_010</t>
  </si>
  <si>
    <t>VND_FUNC_010 / 022 / VND_UI_010 / VND_VAL_018 / VND_SEC_010 - View Details: Basic Info, Contact, Address, Bank Account, IDs, Other Info (India, +5:30, ₹); URL holds only the id; Back returns</t>
  </si>
  <si>
    <t>VND_FUNC_011 / 012 / 016 / VND_E2E_005</t>
  </si>
  <si>
    <t>VND_FUNC_011 / 012 / 016 / VND_E2E_005 - Edit display name, email and billing address: shown in the profile and the vendor list</t>
  </si>
  <si>
    <t>VND_FUNC_014 / VND_BL_013</t>
  </si>
  <si>
    <t>VND_FUNC_014 / VND_BL_013 - Editing the opening balance changes Due / Closing by the difference</t>
  </si>
  <si>
    <t>VND_FUNC_015 / 017</t>
  </si>
  <si>
    <t>VND_FUNC_015 / 017 - Add Contact and Add Bank Details open their forms</t>
  </si>
  <si>
    <t>VND_NEG_012</t>
  </si>
  <si>
    <t>VND_NEG_012 - A vendor with dues has no Delete option</t>
  </si>
  <si>
    <t>VND_SF_006 / 007 / 008 / 010 / 011 / VND_POS_017 / VND_NEG_008 / VND_E2E_006</t>
  </si>
  <si>
    <t>VND_SF_006 / 007 / 008 / 010 / 011 / VND_POS_017 / VND_NEG_008 / VND_E2E_006 - Purchase Invoice tab dates: today only, reversed range, empty range; reload restores</t>
  </si>
  <si>
    <t>VND_SF_009 / VND_POS_018</t>
  </si>
  <si>
    <t>VND_SF_009 / VND_POS_018 - Payment Made tab: today only</t>
  </si>
  <si>
    <t>VND_PAG_001 / 002 / 003 / 006 / 008 / 010</t>
  </si>
  <si>
    <t>VND_PAG_001 / 002 / 003 / 006 / 008 / 010 - Statement: 20 / page, next / previous, count constant; switching tabs returns to page 1</t>
  </si>
  <si>
    <t>VND_POS_016 / VND_BL_014 / VND_PAG_009 / VND_E2E_014</t>
  </si>
  <si>
    <t>VND_POS_016 / VND_BL_014 / VND_PAG_009 / VND_E2E_014 - Switching vendors: each has its own balances; back to the first gives the same values (page 1)</t>
  </si>
  <si>
    <t>VND_SEC_001 / VND_NEG_013</t>
  </si>
  <si>
    <t>VND_SEC_001 / VND_NEG_013 - Without a session the vendor page redirects to login</t>
  </si>
  <si>
    <t>VND_FUNC_019 / 020 / 021 / VND_POS_009 / 010 / VND_NEG_002 / 003 / 009 / 016 / VND_VAL_005 / 006 / 017 / VND_BND_003 / 004 / 007 / 010 / VND_BL_005 / 012 / 015 / 016 / 019 / 020 / VND_UI_011 / VND_PAG_007 / VND_E2E_003 / 004 / 010 / VND_ACC_005 / 008 / VND_SEC_012 / VND_PERF_005 / 010</t>
  </si>
  <si>
    <t>VND_FUNC_019 / 020 / 021 / VND_POS_009 / 010 / VND_NEG_002 / 003 / 009 / 016 / VND_VAL_005 / 006 / 017 / VND_BND_003 / 004 / 007 / 010 / VND_BL_005 / 012 / 015 / 016 / 019 / 020 / VND_UI_011 / VND_PAG_007 / VND_E2E_003 / 004 / 010 / VND_ACC_005 / 008 / VND_SEC_012 / VND_PERF_005 / 010 - Apply advance to invoices (Advance Breakdown → Apply Excess Amount) (The Advance Breakdown opens (VND_FUNC_018); the Apply Excess Amount popup flow is not automated yet.)</t>
  </si>
  <si>
    <t>VND_FUNC_013</t>
  </si>
  <si>
    <t>VND_FUNC_013 - Edit GST Number in the profile (The profile has no GST edit (GST STATUS shown without Edit).)</t>
  </si>
  <si>
    <t>VND_POS_013 / 014 / VND_NEG_015 / VND_VAL_004 / 009</t>
  </si>
  <si>
    <t>VND_POS_013 / 014 / VND_NEG_015 / VND_VAL_004 / 009 - Other Info country / TAN / IEC formats (IDs &amp; Certificates and Other Info have no Edit / Add control.)</t>
  </si>
  <si>
    <t>VND_POS_015 / VND_UPL_001…008 / VND_NEG_017 / VND_SEC_013 / VND_E2E_011</t>
  </si>
  <si>
    <t>VND_POS_015 / VND_UPL_001…008 / VND_NEG_017 / VND_SEC_013 / VND_E2E_011 - Vendor photo upload (PHOTO has no upload control on the profile.)</t>
  </si>
  <si>
    <t>VND_E2E_015</t>
  </si>
  <si>
    <t>VND_E2E_015 - Bank details + contact saved and shown (Add Contact / Add Bank Details forms are checked to open (VND_FUNC_015 / 017); saving them needs their field set.)</t>
  </si>
  <si>
    <t>VND_UI_002</t>
  </si>
  <si>
    <t>VND_UI_002 - Selected vendor highlighted (Visual design check.)</t>
  </si>
  <si>
    <t>VND_BND_005 / 006 / 011 / 012 / VND_PAG_004 / 005 / VND_E2E_013 / VND_SF_012</t>
  </si>
  <si>
    <t>VND_BND_005 / 006 / 011 / 012 / VND_PAG_004 / 005 / VND_E2E_013 / VND_SF_012 - Exact record counts (20 / 21 / 100), single-vendor org (Needs a vendor / org with a controlled number of records.)</t>
  </si>
  <si>
    <t>VND_NEG_006 / VND_SEC_002</t>
  </si>
  <si>
    <t>VND_NEG_006 / VND_SEC_002 - Another org's vendor by URL (Needs a second org.)</t>
  </si>
  <si>
    <t>VND_NEG_007 / VND_SEC_003 / 009 / 011</t>
  </si>
  <si>
    <t>VND_NEG_007 / VND_SEC_003 / 009 / 011 - Role restrictions (No view-only / accountant users in the test data.)</t>
  </si>
  <si>
    <t>VND_SEC_007 / 014</t>
  </si>
  <si>
    <t>VND_SEC_007 / 014 - CSRF / rate limiting (API-level security tests, not UI tests.)</t>
  </si>
  <si>
    <t>VND_SEC_008</t>
  </si>
  <si>
    <t>VND_SEC_008 - Session timeout (Needs a shortened session lifetime.)</t>
  </si>
  <si>
    <t>VND_SEC_015</t>
  </si>
  <si>
    <t>VND_SEC_015 - Deleted vendor by URL (Vendors cannot be deleted.)</t>
  </si>
  <si>
    <t>VND_PERF_001…004 / 006…009</t>
  </si>
  <si>
    <t>VND_PERF_001…004 / 006…009 - Response-time / concurrency limits (Environment-dependent; not a functional check.)</t>
  </si>
  <si>
    <t>VND_ACC_001 / 003 / 004 / 006 / 007</t>
  </si>
  <si>
    <t>VND_ACC_001 / 003 / 004 / 006 / 007 - Keyboard list, screen reader, contrast, labels (Needs an accessibility audit tool (axe) / screen reader.)</t>
  </si>
  <si>
    <t>purchase/06_Expense.spec.js</t>
  </si>
  <si>
    <t>Expense</t>
  </si>
  <si>
    <t>EXP_FUNC_001 / 017 / EXP_UI_001 / 009 / 014</t>
  </si>
  <si>
    <t>EXP_FUNC_001 / 017 / EXP_UI_001 / 009 / 014 - List: Date, Expense No., Reference, Vendor Name, Paid Through, Amount, Status; New Expense; search and dates; Total Count</t>
  </si>
  <si>
    <t>@expense @purchase</t>
  </si>
  <si>
    <t>EXP_FUNC_002 / 003 / EXP_UI_003 / 004 / 005 / 007 / 010 / 012 / EXP_VAL_015 / EXP_ACC_002 / 007</t>
  </si>
  <si>
    <t>EXP_FUNC_002 / 003 / EXP_UI_003 / 004 / 005 / 007 / 010 / 012 / EXP_VAL_015 / EXP_ACC_002 / 007 - New Expense (Enter key): read-only EXP-AUTO no, today, header fields, row columns, summary, buttons</t>
  </si>
  <si>
    <t>EXP_NEG_001 / 002 / 003</t>
  </si>
  <si>
    <t>EXP_NEG_001 / 002 / 003 - Save empty: Paid Through, GST Treatment and Source required; a row without Expense Account is refused</t>
  </si>
  <si>
    <t>EXP_FUNC_012 / 013 / EXP_UI_013 / EXP_POS_004 / EXP_BL_005 / EXP_VAL_017 / EXP_ACC_009</t>
  </si>
  <si>
    <t>EXP_FUNC_012 / 013 / EXP_UI_013 / EXP_POS_004 / EXP_BL_005 / EXP_VAL_017 / EXP_ACC_009 - Rows: add (keyboard), amounts sum, remove row 1; the last row cannot leave the table empty</t>
  </si>
  <si>
    <t>EXP_POS_001 / 002 / 012 / 013 / EXP_BL_001 / 006 / 007 / 017 / EXP_FUNC_004 / EXP_E2E_001 / 014</t>
  </si>
  <si>
    <t>EXP_POS_001 / 002 / 012 / 013 / EXP_BL_001 / 006 / 007 / 017 / EXP_FUNC_004 / EXP_E2E_001 / 014 - GST18 exclusive ₹5,000 intra-state: CGST = SGST = 450, total 5,900; listed (no vendor, Petty Cash); journal balanced with input GST</t>
  </si>
  <si>
    <t>EXP_POS_003 / EXP_BL_002 / EXP_E2E_010 / EXP_UI_006</t>
  </si>
  <si>
    <t>EXP_POS_003 / EXP_BL_002 / EXP_E2E_010 / EXP_UI_006 - Inclusive ₹5,000 GST18: total 5,000, sub 4,237.29; switching to exclusive recalculates to 5,900</t>
  </si>
  <si>
    <t>EXP_POS_014 / EXP_E2E_011</t>
  </si>
  <si>
    <t>EXP_POS_014 / EXP_E2E_011 - Inter-state (Source Karnataka → Tamil Nadu) ₹10,000 GST18: IGST 1,800, no CGST / SGST; journal has IGST</t>
  </si>
  <si>
    <t>EXP_BL_015 / 016 / EXP_E2E_004 / EXP_BND_011</t>
  </si>
  <si>
    <t>EXP_BL_015 / 016 / EXP_E2E_004 / EXP_BND_011 - Rows with GST5, no tax and GST18: each taxed on its own; untaxed row adds only to the sub total</t>
  </si>
  <si>
    <t>EXP_POS_005 / EXP_E2E_006 / EXP_POS_007 / EXP_VAL_014 / EXP_NEG_014 / EXP_SEC_005 / EXP_BND_012</t>
  </si>
  <si>
    <t>EXP_POS_005 / EXP_E2E_006 / EXP_POS_007 / EXP_VAL_014 / EXP_NEG_014 / EXP_SEC_005 / EXP_BND_012 - Vendor and a special-character reference: both in the list; script text not run</t>
  </si>
  <si>
    <t>EXP_POS_009 / EXP_BL_012 / 013 / EXP_E2E_005 / EXP_FUNC_019</t>
  </si>
  <si>
    <t>EXP_POS_009 / EXP_BL_012 / 013 / EXP_E2E_005 / EXP_FUNC_019 - With a customer the expense is billable (no Non-Billable badge); without one it is Non-Billable</t>
  </si>
  <si>
    <t>EXP_POS_008 / EXP_NEG_009 / EXP_VAL_005 / 010</t>
  </si>
  <si>
    <t>EXP_POS_008 / EXP_NEG_009 / EXP_VAL_005 / 010 - Registered Business: an invalid GSTIN is refused, a valid one saves</t>
  </si>
  <si>
    <t>EXP_FUNC_005 / EXP_VAL_016 / EXP_BL_010 / EXP_POS_017 / EXP_UI_002</t>
  </si>
  <si>
    <t>EXP_FUNC_005 / EXP_VAL_016 / EXP_BL_010 / EXP_POS_017 / EXP_UI_002 - Save as Draft: Draft status, values kept, no journal</t>
  </si>
  <si>
    <t>EXP_POS_010 / EXP_BL_011 / 018 / EXP_E2E_002 / EXP_FUNC_020</t>
  </si>
  <si>
    <t>EXP_POS_010 / EXP_BL_011 / 018 / EXP_E2E_002 / EXP_FUNC_020 - Edit a draft and Save: no longer Draft, journal posted; the edit screen of a saved expense has no Save as Draft</t>
  </si>
  <si>
    <t>EXP_FUNC_009 / 010 / EXP_BL_008 / EXP_E2E_008 / 013</t>
  </si>
  <si>
    <t>EXP_FUNC_009 / 010 / EXP_BL_008 / EXP_E2E_008 / 013 - Edit a saved expense: prefilled; ₹1,000 → ₹1,500 and Paid Through Cash: list and journal follow</t>
  </si>
  <si>
    <t>EXP_NEG_016</t>
  </si>
  <si>
    <t>EXP_NEG_016 - Cancel on the edit screen keeps the saved amount</t>
  </si>
  <si>
    <t>EXP_FUNC_011 / EXP_POS_011 / EXP_BL_009 / EXP_E2E_003 / EXP_NEG_010 / EXP_ACC_008</t>
  </si>
  <si>
    <t>EXP_FUNC_011 / EXP_POS_011 / EXP_BL_009 / EXP_E2E_003 / EXP_NEG_010 / EXP_ACC_008 - Delete: No keeps it; Yes removes it and the count drops</t>
  </si>
  <si>
    <t>EXP_FUNC_006 / EXP_E2E_015</t>
  </si>
  <si>
    <t>EXP_FUNC_006 / EXP_E2E_015 - Cancel on a filled new expense saves nothing</t>
  </si>
  <si>
    <t>EXP_FUNC_007 / 008 / 015 / 018 / EXP_UI_008 / 011 / EXP_POS_016</t>
  </si>
  <si>
    <t>EXP_FUNC_007 / 008 / 015 / 018 / EXP_UI_008 / 011 / EXP_POS_016 - View: #EXP no, Close / Print / Edit / ⋮, company details, journal Account / Debit / Credit; Close returns to the list</t>
  </si>
  <si>
    <t>EXP_FUNC_014 / EXP_E2E_007</t>
  </si>
  <si>
    <t>EXP_FUNC_014 / EXP_E2E_007 - Print opens a print preview, dialog or PDF</t>
  </si>
  <si>
    <t>EXP_NEG_004 / 005 / 006</t>
  </si>
  <si>
    <t>EXP_NEG_004 / 005 / 006 - Amount: "-" and letters refused; ₹0 is not saved</t>
  </si>
  <si>
    <t>EXP_NEG_007 / 018 / EXP_POS_015 / EXP_BND_003 / EXP_SEC_006</t>
  </si>
  <si>
    <t>EXP_NEG_007 / 018 / EXP_POS_015 / EXP_BND_003 / EXP_SEC_006 - Description: 100 characters kept; beyond 500 cut; whitespace-only and script text saved as text</t>
  </si>
  <si>
    <t>EXP_VAL_018 / EXP_BND_001 / 002 / 009</t>
  </si>
  <si>
    <t>EXP_VAL_018 / EXP_BND_001 / 002 / 009 - Amounts: 1000.999 → 2 decimals; ₹0.01 and ₹9,99,99,999 save with correct totals</t>
  </si>
  <si>
    <t>EXP_BND_006 / EXP_PERF_004</t>
  </si>
  <si>
    <t>EXP_BND_006 / EXP_PERF_004 - Twenty rows of ₹100 save; sub total ₹2,000</t>
  </si>
  <si>
    <t>EXP_NEG_008</t>
  </si>
  <si>
    <t>EXP_NEG_008 - Empty date is refused</t>
  </si>
  <si>
    <t>EXP_NEG_013 / EXP_BND_007</t>
  </si>
  <si>
    <t>EXP_NEG_013 / EXP_BND_007 - A date a year ahead is refused or warned about</t>
  </si>
  <si>
    <t>EXP_SF_001 / 002 / 003 / 007 / 008 / 010 / EXP_SEC_004</t>
  </si>
  <si>
    <t>EXP_SF_001 / 002 / 003 / 007 / 008 / 010 / EXP_SEC_004 - Search: number, vendor, partial, case, no match, SQL text; clearing restores</t>
  </si>
  <si>
    <t>EXP_SF_004 / 005 / 006 / 009 / 011 / 012 / EXP_NEG_017 / EXP_E2E_009 / EXP_PAG_010</t>
  </si>
  <si>
    <t>EXP_SF_004 / 005 / 006 / 009 / 011 / 012 / EXP_NEG_017 / EXP_E2E_009 / EXP_PAG_010 - Date filter: today only (with vendor search), reversed range, reload restores; newest first</t>
  </si>
  <si>
    <t>EXP_POS_018 / EXP_PAG_001 / 005</t>
  </si>
  <si>
    <t>EXP_POS_018 / EXP_PAG_001 / 005 - Footer total = sum of the amounts; one page when ≤ 20</t>
  </si>
  <si>
    <t>EXP_SEC_001 / 011</t>
  </si>
  <si>
    <t>EXP_SEC_001 / 011 - Without a session the expense list redirects to login; URLs hold no amounts or GST numbers</t>
  </si>
  <si>
    <t>EXP_FUNC_016 / EXP_BND_010</t>
  </si>
  <si>
    <t>EXP_FUNC_016 / EXP_BND_010 - Sequential / 5-digit expense numbers (Other users share the org — numbers jump; EXP-AUTO/9999 needs 9,999 expenses.)</t>
  </si>
  <si>
    <t>EXP_BL_014</t>
  </si>
  <si>
    <t>EXP_BL_014 - Paid Through account balance (Account balances are a Chart of Accounts / Manual Journal check.)</t>
  </si>
  <si>
    <t>EXP_PAG_002 / 003 / 004 / 006 / 007 / 008 / 009 / EXP_E2E_012</t>
  </si>
  <si>
    <t>EXP_PAG_002 / 003 / 004 / 006 / 007 / 008 / 009 / EXP_E2E_012 - Pagination with 21+ expenses (Needs 21+ expenses; the org starts with none.)</t>
  </si>
  <si>
    <t>EXP_UI_015</t>
  </si>
  <si>
    <t>EXP_UI_015 - Responsive layout (Visual design check.)</t>
  </si>
  <si>
    <t>EXP_NEG_011 / EXP_SEC_002</t>
  </si>
  <si>
    <t>EXP_NEG_011 / EXP_SEC_002 - Another org's expense by URL (Needs a second org.)</t>
  </si>
  <si>
    <t>EXP_NEG_012 / EXP_SEC_003 / 009 / 013</t>
  </si>
  <si>
    <t>EXP_NEG_012 / EXP_SEC_003 / 009 / 013 - Role restrictions (No view-only / accountant / inventory-manager users in the test data.)</t>
  </si>
  <si>
    <t>EXP_SEC_007 / 010 / 012 / 014</t>
  </si>
  <si>
    <t>EXP_SEC_007 / 010 / 012 / 014 - CSRF / API auth / rate limiting / API fields (API-level security tests, not UI tests.)</t>
  </si>
  <si>
    <t>EXP_SEC_008</t>
  </si>
  <si>
    <t>EXP_SEC_008 - Session timeout (Needs a shortened session lifetime.)</t>
  </si>
  <si>
    <t>EXP_SEC_015</t>
  </si>
  <si>
    <t>EXP_SEC_015 - Deleted expense by URL (The expense view is a drawer — no per-expense URL.)</t>
  </si>
  <si>
    <t>EXP_PERF_001…003 / 005…010</t>
  </si>
  <si>
    <t>EXP_PERF_001…003 / 005…010 - Response-time / concurrency limits (Environment-dependent; not a functional check.)</t>
  </si>
  <si>
    <t>EXP_ACC_001 / 003 / 004 / 005 / 006 / 010</t>
  </si>
  <si>
    <t>EXP_ACC_001 / 003 / 004 / 005 / 006 / 010 - Keyboard list, screen reader, contrast, table semantics (Needs an accessibility audit tool (axe) / screen reader.)</t>
  </si>
  <si>
    <t>sales</t>
  </si>
  <si>
    <t>sales/01_SalesInvoiceFlow.spec.js</t>
  </si>
  <si>
    <t>Sales Module Flow</t>
  </si>
  <si>
    <t>@sales @smoke</t>
  </si>
  <si>
    <t>TC02 - Check the opening stock/current inventory of the created item, then create a sales invoice for it, and verify the updated stock in the Inventory section of the Invoice module</t>
  </si>
  <si>
    <t>@sales</t>
  </si>
  <si>
    <t>TC06 - Edit the created Sales Invoice for the selected item, and verify that the updated stock is accurately reflected in the Inventory section of the Invoice module</t>
  </si>
  <si>
    <t>TC07 - Verify that the updated stock in the Stock Statement of the Fieldforce module matches the Inventory stock after editing the Sales Invoice</t>
  </si>
  <si>
    <t>TC08 - Verify that the updated stock shown in the Sales Invoice quantity alert of the Invoice module matches the Inventory stock after editing the Sales Invoice</t>
  </si>
  <si>
    <t>TC09 - Verify that the updated stock in the Stock Adjustment quantities against the respective UOMs of the Inventory module matches the Item Inventory stock after editing the Sales Invoice</t>
  </si>
  <si>
    <t>TC10 - Cancel the created Sales Invoice for the selected item, and verify that the updated stock is accurately reflected in the Inventory section of the Invoice module</t>
  </si>
  <si>
    <t>TC12 - Verify that the updated stock shown in the Sales Invoice quantity alert of the Invoice module matches the Inventory stock after cancelling the Sales Invoice</t>
  </si>
  <si>
    <t>TC13 - Verify that the updated stock in the Stock Adjustment quantities against the respective UOMs of the Inventory module matches the Item Inventory stock after cancelling the Sales Invoice</t>
  </si>
  <si>
    <t>TC14 - Delete the created Sales Invoice for the selected item, and verify that the updated stock is accurately reflected in the Inventory section of the Invoice module</t>
  </si>
  <si>
    <t>TC15 - Verify that the updated stock in the Stock Statement of the Fieldforce module matches the Inventory stock after deleting the Sales Invoice</t>
  </si>
  <si>
    <t>TC16 - Verify that the updated stock shown in the Sales Invoice quantity alert of the Invoice module matches the Inventory stock after deleting the Sales Invoice</t>
  </si>
  <si>
    <t>TC17 - Verify that the updated stock in the Stock Adjustment quantities against the respective UOMs of the Inventory module matches the Item Inventory stock after deleting the Sales Invoice</t>
  </si>
  <si>
    <t>TC18 - Create, edit, and delete the Sales Invoice for the same item, and verify that the invoice amount is accurately reflected in the Customer Due, Closing Balance, and Transaction Statement</t>
  </si>
  <si>
    <t>sales/02_SalesInvoiceStock.spec.js</t>
  </si>
  <si>
    <t>Sales Invoice - Stock &amp; UOM</t>
  </si>
  <si>
    <t>TC01 - 61 pcs = 1 box, 625 pcs = 1 bundle: with 4000 pcs, an invoice over the stock is refused and one within it is saved</t>
  </si>
  <si>
    <t>@sales @si-stock</t>
  </si>
  <si>
    <t>TC02 - Stock 2000 pcs: an invoice for 32.79 box (61 pcs = 1 box) is saved and the stock shows 0</t>
  </si>
  <si>
    <t>TC03 - Stock 2000 pcs: an invoice for 30 box (61 pcs = 1 box) leaves 170 pcs = 2.79 box</t>
  </si>
  <si>
    <t>TC04 - Stock 500.99 pcs: an invoice for 1 bundle (600 pcs) is refused with a validation message</t>
  </si>
  <si>
    <t>TC05 - Stock 3500 pcs: 3501 pcs cannot be invoiced, 3500 is the maximum, and the stock stays 3500</t>
  </si>
  <si>
    <t>TC06 - One invoice with many items, mixed UOMs and decimal quantities reduces every item's stock exactly</t>
  </si>
  <si>
    <t>TC07 - Stock 15000 pcs: several invoices for one item totalling 14500 pcs leave 500 pcs</t>
  </si>
  <si>
    <t>TC08 - Stock 20000 pcs: one invoice with many box / pcs / bundle lines of the same item reduces the stock exactly</t>
  </si>
  <si>
    <t>TC09 - Several items sold over several invoices in mixed UOMs (62 pcs = 1 box, 702 pcs = 1 bundle) reduce the stock exactly</t>
  </si>
  <si>
    <t>TC10 - Single-unit items: pcs item offers no box, box item no bundle, bundle item no pcs</t>
  </si>
  <si>
    <t>TC11 - Invoice with different items posts the right journal accounts</t>
  </si>
  <si>
    <t>@sales @si-journal</t>
  </si>
  <si>
    <t>TC12 - Invoice with a single item posts the right journal accounts</t>
  </si>
  <si>
    <t>TC13 - Stock 3000: invoice for 3000 leaves 0, editing it to 1500 leaves 1500</t>
  </si>
  <si>
    <t>@sales @si-edit</t>
  </si>
  <si>
    <t>TC14 - Invoice created with 553 pcs and edited to 234.67 pcs updates the stock correctly</t>
  </si>
  <si>
    <t>TC15 - Invoice created with 42.99 pcs and edited to 31 pcs updates the stock correctly</t>
  </si>
  <si>
    <t>TC16 - Stock 100: the invoice qty raised and lowered many times keeps the stock correct after every edit</t>
  </si>
  <si>
    <t>TC17 - Stock 5000: invoice in pcs edited to 1000 pcs + 2 box + 2 bundle updates the stock correctly</t>
  </si>
  <si>
    <t>TC18 - Stock 2100: editing the invoice to 1000 + 1000 + 200 pcs is refused with a validation message</t>
  </si>
  <si>
    <t>TC19 - Single-unit pcs item (stock 200) invoice edited to several items in mixed UOMs updates every stock correctly</t>
  </si>
  <si>
    <t>TC20 - Journal is right for a single-item invoice and again after editing it to several items</t>
  </si>
  <si>
    <t>@sales @si-edit @si-journal</t>
  </si>
  <si>
    <t>TC21 - Draft invoice: creating and editing it (qty change, added items) posts no journal and leaves stock unchanged</t>
  </si>
  <si>
    <t>TC22 - Editing the invoice qty from 100 to 1,000,000,000.46 pcs is refused with a validation message and the stock stays correct</t>
  </si>
  <si>
    <t>TC23 - Stock 2500: invoice for 2200 leaves 300; cancelling or deleting it gives the 2200 back (2500)</t>
  </si>
  <si>
    <t>@sales @si-delete</t>
  </si>
  <si>
    <t>TC24 - Stock 25000: deleting an invoice with mixed UOM lines restores 25000</t>
  </si>
  <si>
    <t>TC25 - Deleting an invoice for 20 box (1 box = 51 pcs) gives 1020 pcs back</t>
  </si>
  <si>
    <t>TC26 - Deleting an invoice for 20 bundle (1 bundle = 602 pcs) gives 12040 pcs back</t>
  </si>
  <si>
    <t>TC27</t>
  </si>
  <si>
    <t>TC27 - Stock 35900: deleting an invoice with pcs / box / bundle / box2 lines restores 35900</t>
  </si>
  <si>
    <t>TC28</t>
  </si>
  <si>
    <t>TC28 - With invoices on different dates, deleting the 21/12/2025 invoice gives back only its qty (2750)</t>
  </si>
  <si>
    <t>TC29</t>
  </si>
  <si>
    <t>TC29 - After deleting every invoice of an item, Inventory, Stock Adjustment and the Sales Invoice alert all show the opening stock</t>
  </si>
  <si>
    <t>Sales Invoice - Edit Flow</t>
  </si>
  <si>
    <t>TC-E01</t>
  </si>
  <si>
    <t>TC-E01 - Remove the existing item and add a new item: new line pre-filled, totals recalculate</t>
  </si>
  <si>
    <t>@sales @si-edit-flow</t>
  </si>
  <si>
    <t>TC-E02</t>
  </si>
  <si>
    <t>TC-E02 - Remove all items and add multiple new items: totals recalculate from scratch</t>
  </si>
  <si>
    <t>TC-E03</t>
  </si>
  <si>
    <t>TC-E03 - Cancel the edit after removing an item: the invoice keeps all its items</t>
  </si>
  <si>
    <t>TC-E04</t>
  </si>
  <si>
    <t>TC-E04 - Saving with every item removed is refused with "At least one item is required"</t>
  </si>
  <si>
    <t>TC-E05</t>
  </si>
  <si>
    <t>TC-E05 - Replace the middle item: items 1 and 3 unchanged, new item correct, total recalculates</t>
  </si>
  <si>
    <t>TC-E06</t>
  </si>
  <si>
    <t>TC-E06 - Change the rate of a single item: line total = rate × qty − discount, grand total recalculates</t>
  </si>
  <si>
    <t>TC-E08</t>
  </si>
  <si>
    <t>TC-E08 - Switch a line discount from % to a fixed ₹ amount</t>
  </si>
  <si>
    <t>TC-E09</t>
  </si>
  <si>
    <t>TC-E09 - Change rate and discount on three items at once: every line and the totals recalculate</t>
  </si>
  <si>
    <t>TC-E10</t>
  </si>
  <si>
    <t>TC-E10 - A line discount above 100% is blocked</t>
  </si>
  <si>
    <t>TC-E11</t>
  </si>
  <si>
    <t>TC-E11 - A negative rate is blocked</t>
  </si>
  <si>
    <t>TC-E12</t>
  </si>
  <si>
    <t>TC-E12 - A 100% line discount makes that line ₹0 and leaves the other items alone</t>
  </si>
  <si>
    <t>TC-E13</t>
  </si>
  <si>
    <t>TC-E13 - A line discount with 2 decimals (12.55) is stored as 12.55</t>
  </si>
  <si>
    <t>TC-E14</t>
  </si>
  <si>
    <t>TC-E14 - A line discount with more than 2 decimals (12.557) is rounded to 12.56 or refused</t>
  </si>
  <si>
    <t>TC-E15</t>
  </si>
  <si>
    <t>TC-E15 - Rate 0 on one item shows a "rate cannot be zero" warning</t>
  </si>
  <si>
    <t>TC-E16</t>
  </si>
  <si>
    <t>TC-E16 - Rate 0 on every item shows a warning for the zero-rate items</t>
  </si>
  <si>
    <t>TC-E17</t>
  </si>
  <si>
    <t>TC-E17 - Zero rate on items 1 and 3: grand total = item 2 only, and the zero-rate items are flagged</t>
  </si>
  <si>
    <t>TC-E18</t>
  </si>
  <si>
    <t>TC-E18 - Change GST from 18% to 12%: tax amount and grand total recalculate</t>
  </si>
  <si>
    <t>TC-E19</t>
  </si>
  <si>
    <t>TC-E19 - Change GST from 12% to 5%: grand total goes down</t>
  </si>
  <si>
    <t>TC-E20</t>
  </si>
  <si>
    <t>TC-E20 - Change CESS from 2% to 4%: tax amount and grand total recalculate</t>
  </si>
  <si>
    <t>TC-E21</t>
  </si>
  <si>
    <t>TC-E21 - Remove GST from an item (GST0 — the app has no "none" option): tax drops, total recalculates</t>
  </si>
  <si>
    <t>TC-E22</t>
  </si>
  <si>
    <t>TC-E22 - Remove CESS from an item (CESS0): tax drops, total recalculates</t>
  </si>
  <si>
    <t>TC-E23</t>
  </si>
  <si>
    <t>TC-E23 - Different GST rates on three items (5% / 12% / 18%): tax = sum of each item's tax</t>
  </si>
  <si>
    <t>TC-E24</t>
  </si>
  <si>
    <t>TC-E24 - Change GST 18%→12% and CESS 4%→2% on the same item: combined tax correct</t>
  </si>
  <si>
    <t>TC-E25</t>
  </si>
  <si>
    <t>TC-E25 - Change the bill date to a past date: due date recalculates and the invoice saves</t>
  </si>
  <si>
    <t>TC-E26</t>
  </si>
  <si>
    <t>TC-E26 - Change the bill date to a future date: due date recalculates and the invoice saves</t>
  </si>
  <si>
    <t>TC-E27</t>
  </si>
  <si>
    <t>TC-E27 - A due date before the bill date is refused with a validation message</t>
  </si>
  <si>
    <t>TC-E28</t>
  </si>
  <si>
    <t>TC-E28 - Change the due period from 7 to 30 days: due date = bill date + 30 days</t>
  </si>
  <si>
    <t>TC-E29</t>
  </si>
  <si>
    <t>TC-E29 - Custom due period with a manual due date is saved</t>
  </si>
  <si>
    <t>TC-E30</t>
  </si>
  <si>
    <t>TC-E30 - Switch from Including Tax to Excluding Tax: tax is added on top, totals recalculate</t>
  </si>
  <si>
    <t>TC-E31</t>
  </si>
  <si>
    <t>TC-E31 - Switch from Excluding Tax to Including Tax: tax is taken out of the rates, totals recalculate</t>
  </si>
  <si>
    <t>TC-E32</t>
  </si>
  <si>
    <t>TC-E32 - Switch tax mode with items at GST 5% / 12% / 18%: each item recalculates at its own rate</t>
  </si>
  <si>
    <t>TC-E33</t>
  </si>
  <si>
    <t>TC-E33 - Switch tax mode with % line discounts: tax is on the post-discount amounts</t>
  </si>
  <si>
    <t>TC-E34</t>
  </si>
  <si>
    <t>TC-E34 - Overall discount 10%: 10% of the subtotal is deducted</t>
  </si>
  <si>
    <t>TC-E36</t>
  </si>
  <si>
    <t>TC-E36 - Overall discount 100%: total = shipping / adjustment only</t>
  </si>
  <si>
    <t>TC-E37</t>
  </si>
  <si>
    <t>TC-E37 - An overall discount above 100% is blocked</t>
  </si>
  <si>
    <t>TC-E38</t>
  </si>
  <si>
    <t>TC-E38 - Remove the overall discount (0): total returns to subtotal + tax</t>
  </si>
  <si>
    <t>TC-E39</t>
  </si>
  <si>
    <t>TC-E39 - Overall discount with 2 decimals (15.75%) is accepted and calculated correctly</t>
  </si>
  <si>
    <t>TC-E40</t>
  </si>
  <si>
    <t>TC-E40 - Adjustment Add → Subtract (same amount): amount is now subtracted</t>
  </si>
  <si>
    <t>TC-E42</t>
  </si>
  <si>
    <t>TC-E42 - New adjustment amount in Subtract mode is subtracted from the total</t>
  </si>
  <si>
    <t>TC-E43</t>
  </si>
  <si>
    <t>TC-E43 - A Subtract adjustment larger than the invoice total gives ₹0 or a warning</t>
  </si>
  <si>
    <t>TC-E44</t>
  </si>
  <si>
    <t>TC-E44 - Remove the adjustment (blank): total recalculates without it</t>
  </si>
  <si>
    <t>TC-E45</t>
  </si>
  <si>
    <t>TC-E45 - Adjustment with overall discount, shipping and tax: total = subtotal − discount + tax + shipping ± adjustment</t>
  </si>
  <si>
    <t>TC-E46</t>
  </si>
  <si>
    <t>TC-E46 - Add ₹150 shipping to an invoice without shipping: total + ₹150</t>
  </si>
  <si>
    <t>TC-E48</t>
  </si>
  <si>
    <t>TC-E48 - Remove the shipping cost (blank): total drops by the shipping amount</t>
  </si>
  <si>
    <t>TC-E49</t>
  </si>
  <si>
    <t>TC-E49 - A negative shipping cost is blocked</t>
  </si>
  <si>
    <t>TC-E50</t>
  </si>
  <si>
    <t>TC-E50 - Shipping cost with more than 2 decimals (150.999) is rounded to 151.00 or refused</t>
  </si>
  <si>
    <t>TC-E51</t>
  </si>
  <si>
    <t>TC-E51 - Apply TDS (Dividend, 10%): TDS is deducted from the total</t>
  </si>
  <si>
    <t>TC-E52</t>
  </si>
  <si>
    <t>TC-E52 - Change the TDS rate (Dividend 10% → Commission 5%): TDS recalculates</t>
  </si>
  <si>
    <t>TC-E53</t>
  </si>
  <si>
    <t>TC-E53 - Remove TDS: no deduction, total goes up</t>
  </si>
  <si>
    <t>TC-E54</t>
  </si>
  <si>
    <t>TC-E54 - TDS amount 45.67 (2 decimals)</t>
  </si>
  <si>
    <t>TC-E55</t>
  </si>
  <si>
    <t>TC-E55 - TDS amount 45.678 (more than 2 decimals)</t>
  </si>
  <si>
    <t>TC-E56</t>
  </si>
  <si>
    <t>TC-E56 - TDS on a small invoice (₹90) never exceeds the total (TDS is a % of the taxable amount)</t>
  </si>
  <si>
    <t>TC-E57</t>
  </si>
  <si>
    <t>TC-E57 - Change TDS with discount, shipping and adjustment set: total = subtotal − discount + tax + shipping ± adjustment − TDS</t>
  </si>
  <si>
    <t>TC-E58</t>
  </si>
  <si>
    <t>TC-E58 - Round off is filled in automatically and the grand total is a round figure</t>
  </si>
  <si>
    <t>TC-E59</t>
  </si>
  <si>
    <t>TC-E59 - Grand total = subtotal − discount + tax + shipping ± adjustment + round off</t>
  </si>
  <si>
    <t>TC-E60</t>
  </si>
  <si>
    <t>TC-E60 - Round off recalculates when the shipping cost changes</t>
  </si>
  <si>
    <t>TC-E61</t>
  </si>
  <si>
    <t>TC-E61 - A new invoice is listed with its bill no, customer, date and bill amount</t>
  </si>
  <si>
    <t>@sales @si-dashboard @si-edit-flow</t>
  </si>
  <si>
    <t>TC-E62</t>
  </si>
  <si>
    <t>TC-E62 - Status badge after creation: "7 days due" for a saved invoice, "Draft" for a draft</t>
  </si>
  <si>
    <t>TC-E63</t>
  </si>
  <si>
    <t>TC-E63 - Every bill number in the Sales list is unique</t>
  </si>
  <si>
    <t>TC-E64</t>
  </si>
  <si>
    <t>TC-E64 - A duplicate bill number cannot be entered: Bill No is auto-generated, read-only and unused</t>
  </si>
  <si>
    <t>TC-E65</t>
  </si>
  <si>
    <t>TC-E65 - Due label matches today's date: "7 days due" today, "3 days overdue" for an invoice due 3 days ago</t>
  </si>
  <si>
    <t>TC-E66</t>
  </si>
  <si>
    <t>TC-E66 - A fully paid invoice shows status Paid and Due Amount ₹0</t>
  </si>
  <si>
    <t>TC-E70</t>
  </si>
  <si>
    <t>TC-E70 - Footer totals = sum of the Bill Amount and Due Amount of the listed invoices</t>
  </si>
  <si>
    <t>TC-E71</t>
  </si>
  <si>
    <t>TC-E71 - Searching a bill number lists only that invoice</t>
  </si>
  <si>
    <t>TC-E72</t>
  </si>
  <si>
    <t>TC-E72 - The date range filter lists only invoices in the range and updates the count</t>
  </si>
  <si>
    <t>TC-E73</t>
  </si>
  <si>
    <t>TC-E73 - Status badge colours: Paid green, Draft yellow, days due orange, overdue red</t>
  </si>
  <si>
    <t>Sales Invoice - Create</t>
  </si>
  <si>
    <t>TC-01</t>
  </si>
  <si>
    <t>TC-01 - Select a customer and proceed: invoice opens with the customer details</t>
  </si>
  <si>
    <t>@sales @si-create</t>
  </si>
  <si>
    <t>TC-02</t>
  </si>
  <si>
    <t>TC-02 - Change the customer on the invoice page: the new customer's details load</t>
  </si>
  <si>
    <t>TC-03</t>
  </si>
  <si>
    <t>TC-03 - Proceeding without a customer is blocked</t>
  </si>
  <si>
    <t>TC-07</t>
  </si>
  <si>
    <t>TC-07 - Due period 7 days: due date = bill date + 7 days</t>
  </si>
  <si>
    <t>TC-08</t>
  </si>
  <si>
    <t>TC-08 - Due period 15 days: due date = bill date + 15 days</t>
  </si>
  <si>
    <t>TC-10</t>
  </si>
  <si>
    <t>TC-10 - Due period 60 days: due date = bill date + 60 days</t>
  </si>
  <si>
    <t>TC-12</t>
  </si>
  <si>
    <t>TC-12 - Bill date defaults to today (due date today + 7)</t>
  </si>
  <si>
    <t>TC-16</t>
  </si>
  <si>
    <t>TC-16 - Warehouse filter shows only that warehouse's stock</t>
  </si>
  <si>
    <t>TC-24</t>
  </si>
  <si>
    <t>TC-24 - Sales order → invoice carries the salesperson</t>
  </si>
  <si>
    <t>TC-25</t>
  </si>
  <si>
    <t>TC-25 - Manually select a salesperson</t>
  </si>
  <si>
    <t>TC-27</t>
  </si>
  <si>
    <t>TC-27 - Retailer customer gets the business-category price list</t>
  </si>
  <si>
    <t>TC-28</t>
  </si>
  <si>
    <t>TC-28 - Standard customer gets the general price list</t>
  </si>
  <si>
    <t>TC-29</t>
  </si>
  <si>
    <t>TC-29 - Switching the price list after adding items refreshes the rates</t>
  </si>
  <si>
    <t>TC-30</t>
  </si>
  <si>
    <t>TC-30 - Customer without a price list uses the default rate</t>
  </si>
  <si>
    <t>TC-39</t>
  </si>
  <si>
    <t>TC-39 - Rate is filled from the active price list</t>
  </si>
  <si>
    <t>TC-19</t>
  </si>
  <si>
    <t>TC-19 - Place of supply in another state: IGST is posted instead of CGST + SGST</t>
  </si>
  <si>
    <t>TC-20</t>
  </si>
  <si>
    <t>TC-20 - The chosen place of supply is shown in the dropdown</t>
  </si>
  <si>
    <t>TC-21</t>
  </si>
  <si>
    <t>TC-21 - An alphanumeric reference number is saved with the invoice</t>
  </si>
  <si>
    <t>TC-23</t>
  </si>
  <si>
    <t>TC-23 - Special characters in the reference number are rejected</t>
  </si>
  <si>
    <t>TC-37</t>
  </si>
  <si>
    <t>TC-37 - Searching with part of the item name lists the matching items</t>
  </si>
  <si>
    <t>TC-38</t>
  </si>
  <si>
    <t>TC-38 - Searching for an item that does not exist lists nothing</t>
  </si>
  <si>
    <t>TC-46</t>
  </si>
  <si>
    <t>TC-46 - Saving with a blank quantity is refused with "Quantity is required"</t>
  </si>
  <si>
    <t>TC-47</t>
  </si>
  <si>
    <t>TC-47 - Saving with quantity 0 is refused with a validation message</t>
  </si>
  <si>
    <t>TC-55</t>
  </si>
  <si>
    <t>TC-55 - A ₹ line discount larger than the line total is blocked</t>
  </si>
  <si>
    <t>TC-58</t>
  </si>
  <si>
    <t>TC-58 - A line total with more than 2 decimals is shown to 2 decimals</t>
  </si>
  <si>
    <t>TC-59</t>
  </si>
  <si>
    <t>TC-59 - Subtotal with one item = that line total</t>
  </si>
  <si>
    <t>TC-60</t>
  </si>
  <si>
    <t>TC-60 - Subtotal with three items = sum of the line totals</t>
  </si>
  <si>
    <t>TC-61</t>
  </si>
  <si>
    <t>TC-61 - Removing an item lowers the subtotal by its line total</t>
  </si>
  <si>
    <t>TC-66</t>
  </si>
  <si>
    <t>TC-66 - An overall discount with 3 decimals (5.555%) is rounded to 2 decimals (5.56)</t>
  </si>
  <si>
    <t>TC-79</t>
  </si>
  <si>
    <t>TC-79 - Full invoice: 5 items with mixed rates, discounts, GST / CESS, overall discount, shipping and adjustment</t>
  </si>
  <si>
    <t>TC-80</t>
  </si>
  <si>
    <t>TC-80 - Sales order → invoice: all fields inherited</t>
  </si>
  <si>
    <t>TC-83</t>
  </si>
  <si>
    <t>TC-83 - Saving with no item rows is blocked</t>
  </si>
  <si>
    <t>TC-85</t>
  </si>
  <si>
    <t>TC-85 - Cancelling a new invoice creates no record</t>
  </si>
  <si>
    <t>Sales Invoice - Payment</t>
  </si>
  <si>
    <t>TC-RP-01 / 02 / 03</t>
  </si>
  <si>
    <t>TC-RP-01 / 02 / 03 - Payment popup shows Bill Amount, Due Amount, Pending Cheque ₹0 and all payment fields</t>
  </si>
  <si>
    <t>@sales @si-payment</t>
  </si>
  <si>
    <t>TC-RP-04</t>
  </si>
  <si>
    <t>TC-RP-04 - Receipt number (RCPT) is shown in the popup before saving</t>
  </si>
  <si>
    <t>TC-RP-05 / 06</t>
  </si>
  <si>
    <t>TC-RP-05 / 06 - Payment date defaults to today; modes are Cash, Cheque, Bank Transfer, Undeposited fund, UPI</t>
  </si>
  <si>
    <t>TC-RP-08</t>
  </si>
  <si>
    <t>TC-RP-08 - Saving without a received amount is refused ("Receive amount is required")</t>
  </si>
  <si>
    <t>TC-RP-09</t>
  </si>
  <si>
    <t>TC-RP-09 - Saving without a payment account is refused ("Account is required")</t>
  </si>
  <si>
    <t>TC-RP-10</t>
  </si>
  <si>
    <t>TC-RP-10 - A zero received amount is refused</t>
  </si>
  <si>
    <t>TC-RP-11</t>
  </si>
  <si>
    <t>TC-RP-11 - A negative received amount is blocked</t>
  </si>
  <si>
    <t>TC-RP-13</t>
  </si>
  <si>
    <t>TC-RP-13 - A received amount above the invoice due is blocked (capped at the due)</t>
  </si>
  <si>
    <t>TC-RP-14 / 15</t>
  </si>
  <si>
    <t>TC-RP-14 / 15 - Note is optional; Cancel closes the popup without recording a payment</t>
  </si>
  <si>
    <t>TC-RP-16</t>
  </si>
  <si>
    <t>TC-RP-16 - Payment dated today is recorded with that date</t>
  </si>
  <si>
    <t>TC-RP-17</t>
  </si>
  <si>
    <t>TC-RP-17 - Payment dated a past date is recorded with that date</t>
  </si>
  <si>
    <t>TC-RP-18</t>
  </si>
  <si>
    <t>TC-RP-18 - Payment dated a future date is recorded with that date</t>
  </si>
  <si>
    <t>TC-RP-19</t>
  </si>
  <si>
    <t>TC-RP-19 - Payment via Cash is saved with that mode and reduces the due</t>
  </si>
  <si>
    <t>TC-RP-21</t>
  </si>
  <si>
    <t>TC-RP-21 - Payment via Bank Transfer is saved with that mode and reduces the due</t>
  </si>
  <si>
    <t>TC-RP-22</t>
  </si>
  <si>
    <t>TC-RP-22 - Payment via UPI is saved with that mode and reduces the due</t>
  </si>
  <si>
    <t>TC-RP-23</t>
  </si>
  <si>
    <t>TC-RP-23 - Payment via Undeposited fund is saved with that mode and reduces the due</t>
  </si>
  <si>
    <t>TC-RP-20</t>
  </si>
  <si>
    <t>TC-RP-20 - Cheque payment stays pending: due unchanged, Pending Cheque shows the amount</t>
  </si>
  <si>
    <t>TC-RP-24</t>
  </si>
  <si>
    <t>TC-RP-24 - Cheque payment: status Paid only after the cheque is cleared</t>
  </si>
  <si>
    <t>TC-RP-29</t>
  </si>
  <si>
    <t>TC-RP-29 - Partially paid invoice, qty edited to 15: status "days due" with the new balance</t>
  </si>
  <si>
    <t>TC-RP-30</t>
  </si>
  <si>
    <t>TC-RP-30 - Partially paid invoice, qty edited to 8: status "days due" with the new balance</t>
  </si>
  <si>
    <t>TC-RP-31</t>
  </si>
  <si>
    <t>TC-RP-31 - Deleting a full payment restores the due and keeps the paid amount as customer advance</t>
  </si>
  <si>
    <t>TC-RP-32</t>
  </si>
  <si>
    <t>TC-RP-32 - Deleting a paid invoice turns the paid amount into customer advance</t>
  </si>
  <si>
    <t>TC-RP-34</t>
  </si>
  <si>
    <t>TC-RP-34 - Print the receipt after saving</t>
  </si>
  <si>
    <t>TC-PR-04</t>
  </si>
  <si>
    <t>TC-PR-04 - A receipt larger than the selected invoices' total is refused</t>
  </si>
  <si>
    <t>TC-PR-08</t>
  </si>
  <si>
    <t>TC-PR-08 - Receipt amount "0" is refused</t>
  </si>
  <si>
    <t>TC-PR-10</t>
  </si>
  <si>
    <t>TC-PR-10 - Receipt amount "empty" is refused</t>
  </si>
  <si>
    <t>TC-PR-09</t>
  </si>
  <si>
    <t>TC-PR-09 - A negative receipt amount is blocked</t>
  </si>
  <si>
    <t>TC-PR-12</t>
  </si>
  <si>
    <t>TC-PR-12 - Print a Payment Received receipt</t>
  </si>
  <si>
    <t>TC-PE-08</t>
  </si>
  <si>
    <t>TC-PE-08 - Three partial payments on one invoice; editing the 2nd recalculates the due from all three</t>
  </si>
  <si>
    <t>TC-PE-09</t>
  </si>
  <si>
    <t>TC-PE-09 - Change a receipt's payment mode Cash → UPI: amount unchanged, mode updated</t>
  </si>
  <si>
    <t>TC-PE-14</t>
  </si>
  <si>
    <t>TC-PE-14 - Change a receipt's payment mode Bank Transfer → Cheque: amount unchanged, mode updated</t>
  </si>
  <si>
    <t>TC-PE-10</t>
  </si>
  <si>
    <t>TC-PE-10 - Payment of a cancelled invoice cannot be edited</t>
  </si>
  <si>
    <t>TC-SC-01 / 09</t>
  </si>
  <si>
    <t>TC-SC-01 / 09 - Editing a fully paid invoice shows "invoice is fully paid — adjust the payment first"</t>
  </si>
  <si>
    <t>TC-SC-02</t>
  </si>
  <si>
    <t>TC-SC-02 - Deleting a paid invoice is blocked or requires removing the payment first</t>
  </si>
  <si>
    <t>TC-SC-05</t>
  </si>
  <si>
    <t>TC-SC-05 - Setting a paid invoice to ₹0 asks to adjust the payments first</t>
  </si>
  <si>
    <t>TC-SC-06</t>
  </si>
  <si>
    <t>TC-SC-06 - A fully paid invoice set to ₹0: the payment moves to customer advance</t>
  </si>
  <si>
    <t>TC-SC-08</t>
  </si>
  <si>
    <t>TC-SC-08 - A partially paid invoice set to ₹0: the payment moves to customer advance</t>
  </si>
  <si>
    <t>TC-SC-10</t>
  </si>
  <si>
    <t>TC-SC-10 - Fully paid invoice, qty increased: total up, status due, balance = difference</t>
  </si>
  <si>
    <t>TC-SC-11</t>
  </si>
  <si>
    <t>TC-SC-11 - Fully paid invoice, qty decreased: stays Paid, the overpaid amount becomes advance</t>
  </si>
  <si>
    <t>TC-SC-12</t>
  </si>
  <si>
    <t>TC-SC-12 - Payment history is intact after changing the qty of a paid invoice</t>
  </si>
  <si>
    <t>TC-SC-04</t>
  </si>
  <si>
    <t>TC-SC-04 - Reports are accurate after the middle invoice is paid</t>
  </si>
  <si>
    <t>TC-SC-07</t>
  </si>
  <si>
    <t>TC-SC-07 - Outstanding / advance reports after a paid invoice is set to ₹0</t>
  </si>
  <si>
    <t>TC-SC-13</t>
  </si>
  <si>
    <t>TC-SC-13 - Outstanding / advance reports after a paid invoice's qty change</t>
  </si>
  <si>
    <t>Bulk Payment - New Receipt</t>
  </si>
  <si>
    <t>TC-UI-01 / 02 / 03 / 04 / 06 / 07</t>
  </si>
  <si>
    <t>TC-UI-01 / 02 / 03 / 04 / 06 / 07 - New Receipt opens with RCPT no, today's date, customer, due / pending cheque and a ₹0 summary</t>
  </si>
  <si>
    <t>@sales @si-bulk</t>
  </si>
  <si>
    <t>TC-UI-05 / 23</t>
  </si>
  <si>
    <t>TC-UI-05 / 23 - Due Invoices lists the customer's outstanding invoices with amount and balance</t>
  </si>
  <si>
    <t>TC-UI-08</t>
  </si>
  <si>
    <t>TC-UI-08 - "Change" on the receipt page opens the customer picker</t>
  </si>
  <si>
    <t>TC-UI-09 / 10</t>
  </si>
  <si>
    <t>TC-UI-09 / 10 - Receipt Account lists the accounts and Petty Cash can be selected</t>
  </si>
  <si>
    <t>TC-UI-11</t>
  </si>
  <si>
    <t>TC-UI-11 - Saving without a Receipt Account is refused</t>
  </si>
  <si>
    <t>TC-UI-12</t>
  </si>
  <si>
    <t>TC-UI-12 - Saving with no received amount is refused ("Received Amount is required")</t>
  </si>
  <si>
    <t>TC-UI-13</t>
  </si>
  <si>
    <t>TC-UI-13 - A zero received amount is refused</t>
  </si>
  <si>
    <t>TC-UI-14 / 15</t>
  </si>
  <si>
    <t>TC-UI-14 / 15 - Negative and alphabetic received amounts are rejected</t>
  </si>
  <si>
    <t>TC-UI-16 / 17</t>
  </si>
  <si>
    <t>TC-UI-16 / 17 - A decimal received amount (500.75) is saved to 2 decimals</t>
  </si>
  <si>
    <t>TC-UI-18 / 19</t>
  </si>
  <si>
    <t>TC-UI-18 / 19 - Payment Mode lists all modes and is required</t>
  </si>
  <si>
    <t>TC-UI-22 / 35 / 36</t>
  </si>
  <si>
    <t>TC-UI-22 / 35 / 36 - Reference No and Additional Notes are saved with the receipt</t>
  </si>
  <si>
    <t>TC-UI-24 / 31 / 32 / 33</t>
  </si>
  <si>
    <t>TC-UI-24 / 31 / 32 / 33 - Row payments update the summary: Used = Σ rows, Excess = Received − Used</t>
  </si>
  <si>
    <t>TC-UI-34</t>
  </si>
  <si>
    <t>TC-UI-34 - Excess is ₹0 when the received amount equals the amount used</t>
  </si>
  <si>
    <t>TC-UI-25</t>
  </si>
  <si>
    <t>TC-UI-25 - A row payment above that invoice's balance is blocked</t>
  </si>
  <si>
    <t>TC-UI-27</t>
  </si>
  <si>
    <t>TC-UI-27 - A fully paid invoice is listed with Balance ₹0</t>
  </si>
  <si>
    <t>TC-UI-28 / 29</t>
  </si>
  <si>
    <t>TC-UI-28 / 29 - Entering a received amount asks to reflect it; OK spreads it over the invoice payments</t>
  </si>
  <si>
    <t>TC-UI-30</t>
  </si>
  <si>
    <t>TC-UI-30 - Cancel on the popup leaves every invoice payment at 0</t>
  </si>
  <si>
    <t>TC-UI-37</t>
  </si>
  <si>
    <t>TC-UI-37 - Cancel on a new receipt creates no record</t>
  </si>
  <si>
    <t>TC-BP-04</t>
  </si>
  <si>
    <t>TC-BP-04 - A receipt above the total of all due invoices is refused</t>
  </si>
  <si>
    <t>TC-BP-11</t>
  </si>
  <si>
    <t>TC-BP-11 - Print a bulk receipt</t>
  </si>
  <si>
    <t>TC-BP-12</t>
  </si>
  <si>
    <t>TC-BP-12 - Receipt dated a past date is saved with that date</t>
  </si>
  <si>
    <t>TC-BP-13</t>
  </si>
  <si>
    <t>TC-BP-13 - Receipt dated a future date is saved with that date</t>
  </si>
  <si>
    <t>TC-BP-14 / 15</t>
  </si>
  <si>
    <t>TC-BP-14 / 15 - Manual split: one invoice paid in full, another partly → Paid and remaining due</t>
  </si>
  <si>
    <t>TC-BP-18</t>
  </si>
  <si>
    <t>TC-BP-18 - Excess on a bulk receipt is kept as customer advance</t>
  </si>
  <si>
    <t>TC-BP-19</t>
  </si>
  <si>
    <t>TC-BP-19 - Paying every selected invoice in full marks them all Paid</t>
  </si>
  <si>
    <t>TC-BP-20</t>
  </si>
  <si>
    <t>TC-BP-20 - 50% of each invoice paid: each shows half its amount as due</t>
  </si>
  <si>
    <t>TC-BP-23</t>
  </si>
  <si>
    <t>TC-BP-23 - Every receipt number in Payment Received is unique</t>
  </si>
  <si>
    <t>TC-BP-24</t>
  </si>
  <si>
    <t>TC-BP-24 - Receipt into Petty Cash posts Petty Cash Dr for the amount</t>
  </si>
  <si>
    <t>TC-IS-06</t>
  </si>
  <si>
    <t>TC-IS-06 - Deleting a bulk receipt returns every invoice it paid to its original due</t>
  </si>
  <si>
    <t>Customer Transaction</t>
  </si>
  <si>
    <t>TC-TD-01</t>
  </si>
  <si>
    <t>TC-TD-01 - Customer page shows balances, the transaction tabs and the statement columns</t>
  </si>
  <si>
    <t>@sales @si-customer-tx</t>
  </si>
  <si>
    <t>TC-TD-06 / TC-SI-05 / TC-SI-14</t>
  </si>
  <si>
    <t>TC-TD-06 / TC-SI-05 / TC-SI-14 - A draft invoice is not counted, and deleting it changes nothing</t>
  </si>
  <si>
    <t>TC-TD-07 / TC-SI-01</t>
  </si>
  <si>
    <t>TC-TD-07 / TC-SI-01 - A saved invoice is listed (bill no, date, amount, due, status) and adds to due and closing balance</t>
  </si>
  <si>
    <t>TC-SI-02</t>
  </si>
  <si>
    <t>TC-SI-02 - Clicking a bill number in the statement opens that invoice</t>
  </si>
  <si>
    <t>TC-SI-03 / TC-PT-02</t>
  </si>
  <si>
    <t>TC-SI-03 / TC-PT-02 - A fully paid invoice shows Paid, ₹0 due, and its payment in the statement</t>
  </si>
  <si>
    <t>TC-SI-04 / TC-PT-01 / TC-PT-03 / TC-BC-02</t>
  </si>
  <si>
    <t>TC-SI-04 / TC-PT-01 / TC-PT-03 / TC-BC-02 - Partial payment: RCPT row with date, amount and mode; due and closing drop by the payment</t>
  </si>
  <si>
    <t>TC-SI-06 / TC-SI-11</t>
  </si>
  <si>
    <t>TC-SI-06 / TC-SI-11 - Editing invoices updates their statement amounts and the due</t>
  </si>
  <si>
    <t>TC-SI-12 / TC-BC-05</t>
  </si>
  <si>
    <t>TC-SI-12 / TC-BC-05 - Deleting an unpaid invoice removes it and takes its amount off due and closing</t>
  </si>
  <si>
    <t>TC-SI-15 / TC-SI-18</t>
  </si>
  <si>
    <t>TC-SI-15 / TC-SI-18 - Deleting the middle invoices leaves the others and the right due</t>
  </si>
  <si>
    <t>TC-TD-09 / TC-SI-16 / TC-SI-17 / TC-SC-03 / TC-BC-10</t>
  </si>
  <si>
    <t>TC-TD-09 / TC-SI-16 / TC-SI-17 / TC-SC-03 / TC-BC-10 - Back-dated invoices are listed by date and the running balance stays consistent after editing the middle one</t>
  </si>
  <si>
    <t>TC-SI-19</t>
  </si>
  <si>
    <t>TC-SI-19 - Paying the middle of three invoices: only it shows Paid</t>
  </si>
  <si>
    <t>TC-PT-04</t>
  </si>
  <si>
    <t>TC-PT-04 - Editing a payment amount (600 → 800) updates the statement and the Payment Report</t>
  </si>
  <si>
    <t>TC-PT-08</t>
  </si>
  <si>
    <t>TC-PT-08 - Deleting a payment removes it from the statement and restores the invoice due</t>
  </si>
  <si>
    <t>TC-PT-11</t>
  </si>
  <si>
    <t>TC-PT-11 - One bulk receipt for two invoices: one RCPT row, both invoices Paid</t>
  </si>
  <si>
    <t>TC-VD-01</t>
  </si>
  <si>
    <t>TC-VD-01 - View Details opens the customer profile</t>
  </si>
  <si>
    <t>Sales Order</t>
  </si>
  <si>
    <t>TC-SO-01 / 02 / 03</t>
  </si>
  <si>
    <t>TC-SO-01 / 02 / 03 - SO number is auto-generated SO-AUTO/NNNN, read-only and increments by 1</t>
  </si>
  <si>
    <t>@sales @so</t>
  </si>
  <si>
    <t>TC-SO-04 / 20 / 22 / 48</t>
  </si>
  <si>
    <t>TC-SO-04 / 20 / 22 / 48 - Defaults: SO date and expected delivery today, 7-day term, Default warehouse; saves with no delivery date</t>
  </si>
  <si>
    <t>TC-SO-05</t>
  </si>
  <si>
    <t>TC-SO-05 - Order dated a past date is saved with that date</t>
  </si>
  <si>
    <t>TC-SO-06</t>
  </si>
  <si>
    <t>TC-SO-06 - Order dated a future date is saved with that date</t>
  </si>
  <si>
    <t>TC-SO-07</t>
  </si>
  <si>
    <t>TC-SO-07 - Payment term "7 days" is saved with the order</t>
  </si>
  <si>
    <t>TC-SO-08</t>
  </si>
  <si>
    <t>TC-SO-08 - Payment term "15 days" is saved with the order</t>
  </si>
  <si>
    <t>TC-SO-09</t>
  </si>
  <si>
    <t>TC-SO-09 - Payment term "30 days" is saved with the order</t>
  </si>
  <si>
    <t>TC-SO-10</t>
  </si>
  <si>
    <t>TC-SO-10 - Payment term "60 days" is saved with the order</t>
  </si>
  <si>
    <t>TC-SO-11</t>
  </si>
  <si>
    <t>TC-SO-11 - Payment term "custom" is saved with the order</t>
  </si>
  <si>
    <t>TC-SO-12</t>
  </si>
  <si>
    <t>TC-SO-12 - Payment term cannot be left blank (it always has a value)</t>
  </si>
  <si>
    <t>TC-SO-13</t>
  </si>
  <si>
    <t>TC-SO-13 - Mode of transport "Road" is saved with the order</t>
  </si>
  <si>
    <t>TC-SO-14</t>
  </si>
  <si>
    <t>TC-SO-14 - Mode of transport "Rail" is saved with the order</t>
  </si>
  <si>
    <t>TC-SO-15</t>
  </si>
  <si>
    <t>TC-SO-15 - Mode of transport "Air" is saved with the order</t>
  </si>
  <si>
    <t>TC-SO-16</t>
  </si>
  <si>
    <t>TC-SO-16 - Mode of transport "Ship" is saved with the order</t>
  </si>
  <si>
    <t>TC-SO-17 / 100</t>
  </si>
  <si>
    <t>TC-SO-17 / 100 - Without items save is disabled; without mode of transport save is refused</t>
  </si>
  <si>
    <t>TC-SO-18 / 21</t>
  </si>
  <si>
    <t>TC-SO-18 / 21 - Delivery and expected delivery dates after the order date are saved</t>
  </si>
  <si>
    <t>TC-SO-19</t>
  </si>
  <si>
    <t>TC-SO-19 - A delivery date before the order date is refused</t>
  </si>
  <si>
    <t>TC-SO-23 / 24 / 25</t>
  </si>
  <si>
    <t>TC-SO-23 / 24 / 25 - Place of supply: Tamil Nadu → CGST + SGST, another state → IGST (changed after items are added)</t>
  </si>
  <si>
    <t>TC-SO-29 / 30 / 31 / 32</t>
  </si>
  <si>
    <t>TC-SO-29 / 30 / 31 / 32 - Including Tax with GST 5% / 12% / 18% items, switched to Excluding: totals correct and saved</t>
  </si>
  <si>
    <t>TC-SO-33 / 38</t>
  </si>
  <si>
    <t>TC-SO-33 / 38 - Selected item comes with rate (≤ 2 decimals), GST and UOM pre-filled</t>
  </si>
  <si>
    <t>TC-SO-37</t>
  </si>
  <si>
    <t>TC-SO-37 - A long item name is shown in full on the order line</t>
  </si>
  <si>
    <t>TC-SO-39</t>
  </si>
  <si>
    <t>TC-SO-39 - Rate 0 on an order shows a "rate cannot be zero" warning</t>
  </si>
  <si>
    <t>TC-SO-40</t>
  </si>
  <si>
    <t>TC-SO-40 - An empty rate is refused ("Rate is required")</t>
  </si>
  <si>
    <t>TC-SO-42 / 43 / 44 / 45</t>
  </si>
  <si>
    <t>TC-SO-42 / 43 / 44 / 45 - UOM pcs / box / bundle set the rate by conversion, and the rate can be overridden</t>
  </si>
  <si>
    <t>TC-SO-54 / 96 / 97</t>
  </si>
  <si>
    <t>TC-SO-54 / 96 / 97 - Order with 4 items, decimal rates / qty / discounts, overall discount, shipping and adjustment is saved with the right total</t>
  </si>
  <si>
    <t>TC-SO-56</t>
  </si>
  <si>
    <t>TC-SO-56 - Saving a sales order reserves / reduces the item stock</t>
  </si>
  <si>
    <t>TC-SO-57 / Sales_Invoice TC-80</t>
  </si>
  <si>
    <t>TC-SO-57 / Sales_Invoice TC-80 - Convert an order to an invoice: lines and reference carried over, order Converted, stock down by the qty</t>
  </si>
  <si>
    <t>TC-SO-98</t>
  </si>
  <si>
    <t>TC-SO-98 - Save As Draft is available on a new sales order</t>
  </si>
  <si>
    <t>TC-SO-101</t>
  </si>
  <si>
    <t>TC-SO-101 - Editing a saved order (qty) updates its amount</t>
  </si>
  <si>
    <t>TC-SO-102</t>
  </si>
  <si>
    <t>TC-SO-102 - Cancelling a new order creates no record</t>
  </si>
  <si>
    <t>TC-SO-103</t>
  </si>
  <si>
    <t>TC-SO-103 - Deleting a saved order removes it</t>
  </si>
  <si>
    <t>TC-OE-20</t>
  </si>
  <si>
    <t>TC-OE-20 - Changing the SO date to a past date on edit is saved</t>
  </si>
  <si>
    <t>TC-OE-21</t>
  </si>
  <si>
    <t>TC-OE-21 - Changing the SO date to a future date on edit is saved</t>
  </si>
  <si>
    <t>TC-OE-22</t>
  </si>
  <si>
    <t>TC-OE-22 - On edit, a delivery date before the SO date is refused</t>
  </si>
  <si>
    <t>TC-OE-23 / 24</t>
  </si>
  <si>
    <t>TC-OE-23 / 24 - On edit, payment term 7 → 30 days and transport Road → Air are saved</t>
  </si>
  <si>
    <t>TC-OE-25</t>
  </si>
  <si>
    <t>TC-OE-25 - Mode of transport cannot be removed on edit</t>
  </si>
  <si>
    <t>TC-OE-44</t>
  </si>
  <si>
    <t>TC-OE-44 - Edit the order qty, convert to an invoice: stock drops by the edited qty</t>
  </si>
  <si>
    <t>CT TC-SO-01 / 02 / 03</t>
  </si>
  <si>
    <t>CT TC-SO-01 / 02 / 03 - The order is listed on the customer's Sales Order tab with its amount and opens on click</t>
  </si>
  <si>
    <t>CT TC-SO-04 / 05 / 06 / 07 / 09</t>
  </si>
  <si>
    <t>CT TC-SO-04 / 05 / 06 / 07 / 09 - Editing (qty up / down) and deleting orders is reflected on the customer's Sales Order tab</t>
  </si>
  <si>
    <t>CT TC-SO-08</t>
  </si>
  <si>
    <t>CT TC-SO-08 - A converted sales order cannot be deleted</t>
  </si>
  <si>
    <t>TC-SO-26</t>
  </si>
  <si>
    <t>TC-SO-26 - Select a sales person (No sales persons exist in the test org.)</t>
  </si>
  <si>
    <t>TC-SO-27</t>
  </si>
  <si>
    <t>TC-SO-27 - Customer's assigned sales person in the dropdown (No sales persons exist in the test org.)</t>
  </si>
  <si>
    <t>TC-SO-35</t>
  </si>
  <si>
    <t>TC-SO-35 - Search item by SKU (Test items have no SKU codes.)</t>
  </si>
  <si>
    <t>TC-SO-46</t>
  </si>
  <si>
    <t>TC-SO-46 - Warehouse filter limits items to that warehouse's stock (Only one warehouse ("Default").)</t>
  </si>
  <si>
    <t>TC-SO-47</t>
  </si>
  <si>
    <t>TC-SO-47 - Item with zero stock in the selected warehouse (Only one warehouse ("Default").)</t>
  </si>
  <si>
    <t>TC-SO-49</t>
  </si>
  <si>
    <t>TC-SO-49 - Retailer customer gets the business-category price list (No customer-specific price lists — PriceList sheet.)</t>
  </si>
  <si>
    <t>TC-SO-50</t>
  </si>
  <si>
    <t>TC-SO-50 - Standard customer gets the general price list (No customer-specific price lists — PriceList sheet.)</t>
  </si>
  <si>
    <t>TC-SO-51</t>
  </si>
  <si>
    <t>TC-SO-51 - Changing the price list refreshes the rates (No customer-specific price lists — PriceList sheet.)</t>
  </si>
  <si>
    <t>TC-SO-52</t>
  </si>
  <si>
    <t>TC-SO-52 - Customer without a price list uses the default rate (No customer-specific price lists — PriceList sheet.)</t>
  </si>
  <si>
    <t>Credit Note</t>
  </si>
  <si>
    <t>TC-CN-01 / 02 / 03</t>
  </si>
  <si>
    <t>TC-CN-01 / 02 / 03 - CN number is auto-generated CN-AUTO/NNNN, read-only (no duplicate or over-long number can be typed) and increments by 1</t>
  </si>
  <si>
    <t>@cn @sales</t>
  </si>
  <si>
    <t>TC-CN-04 / 07 / 18</t>
  </si>
  <si>
    <t>TC-CN-04 / 07 / 18 - Defaults: date today, Default warehouse, no invoice; the customer is shown in the header</t>
  </si>
  <si>
    <t>TC-CN-05 / TC-UCN-02</t>
  </si>
  <si>
    <t>TC-CN-05 / TC-UCN-02 - Credit note dated a past date is saved with that date</t>
  </si>
  <si>
    <t>TC-CN-06 / TC-UCN-03</t>
  </si>
  <si>
    <t>TC-CN-06 / TC-UCN-03 - Credit note dated a future date is saved with that date</t>
  </si>
  <si>
    <t>TC-CN-08</t>
  </si>
  <si>
    <t>TC-CN-08 - Change the customer on the credit note: the new customer's details load</t>
  </si>
  <si>
    <t>TC-CN-10 / 12 / TC-LCN-19 / 20 / TC-UCN-11 / 12</t>
  </si>
  <si>
    <t>TC-CN-10 / 12 / TC-LCN-19 / 20 / TC-UCN-11 / 12 - Invoice No lists only this customer's invoices; linking one copies no lines (adapted)</t>
  </si>
  <si>
    <t>TC-CN-11 / 13 / 15 / 57</t>
  </si>
  <si>
    <t>TC-CN-11 / 13 / 15 / 57 - Unlinked CN with a reason and an alphanumeric Ref No: Save and Send lists it Open, no invoice, full remaining; reason / ref kept</t>
  </si>
  <si>
    <t>TC-CN-19 / 20</t>
  </si>
  <si>
    <t>TC-CN-19 / 20 - Place of supply: Tamil Nadu → CGST + SGST, another state → IGST</t>
  </si>
  <si>
    <t>TC-CN-23 / 24 / 25</t>
  </si>
  <si>
    <t>TC-CN-23 / 24 / 25 - Including Tax, switched to Excluding Tax: totals recalculate and the saved amount matches</t>
  </si>
  <si>
    <t>TC-CN-26 / 27 / 34 / 42 / 43 / 45</t>
  </si>
  <si>
    <t>TC-CN-26 / 27 / 34 / 42 / 43 / 45 - Several items with own rate, GST and CESS: rate pre-filled, each taxed at its rate, saved amount correct</t>
  </si>
  <si>
    <t>TC-CN-28</t>
  </si>
  <si>
    <t>TC-CN-28 - Removing an item recalculates the total; saved amount matches</t>
  </si>
  <si>
    <t>TC-CN-46 / 48 / 50 / 51</t>
  </si>
  <si>
    <t>TC-CN-46 / 48 / 50 / 51 - Overall discount, shipping, TDS and adjustment: totals correct and saved amount matches</t>
  </si>
  <si>
    <t>TC-CN-29 / 58</t>
  </si>
  <si>
    <t>TC-CN-29 / 58 - Without items the credit note cannot be saved (Save disabled)</t>
  </si>
  <si>
    <t>TC-CN-30</t>
  </si>
  <si>
    <t>TC-CN-30 - Quantity 0: either refused, or saved without changing stock</t>
  </si>
  <si>
    <t>TC-CN-31</t>
  </si>
  <si>
    <t>TC-CN-31 - Saving with a blank quantity is refused</t>
  </si>
  <si>
    <t>TC-CN-35</t>
  </si>
  <si>
    <t>TC-CN-35 - A zero rate gets a warning</t>
  </si>
  <si>
    <t>TC-CN-32 / 33</t>
  </si>
  <si>
    <t>TC-CN-32 / 33 - Stock goes up by the credited quantity (whole and decimal)</t>
  </si>
  <si>
    <t>TC-ST-05 (CT)</t>
  </si>
  <si>
    <t>TC-ST-05 (CT) - Invoice 10 then credit note 5 for the same item: stock down by 5 net</t>
  </si>
  <si>
    <t>TC-CN-54 / 55 / 56</t>
  </si>
  <si>
    <t>TC-CN-54 / 55 / 56 - Draft: listed as Draft and editable, stock unchanged, not in the transaction statement</t>
  </si>
  <si>
    <t>TC-CN-59 / TC-ST-06 (CT)</t>
  </si>
  <si>
    <t>TC-CN-59 / TC-ST-06 (CT) - Deleting an unlinked credit note removes it and takes the returned stock back out</t>
  </si>
  <si>
    <t>TC-CN-60 / CT TC-CN-04 / 05</t>
  </si>
  <si>
    <t>TC-CN-60 / CT TC-CN-04 / 05 - Editing qty 5 → 3 and the rate: amount, stock and statement follow</t>
  </si>
  <si>
    <t>TC-CN-61</t>
  </si>
  <si>
    <t>TC-CN-61 - Cancelling a new credit note creates no record</t>
  </si>
  <si>
    <t>TC-LCN-01 / 02 / 03</t>
  </si>
  <si>
    <t>TC-LCN-01 / 02 / 03 - Linked CN dated on or after the invoice date is saved; before it is refused</t>
  </si>
  <si>
    <t>TC-LCN-04 / 09 / TC-UCN-04 / CT TC-CN-02 / TC-BC-03</t>
  </si>
  <si>
    <t>TC-LCN-04 / 09 / TC-UCN-04 / CT TC-CN-02 / TC-BC-03 - Partial linked CN: saved, auto-applied to the invoice; invoice and customer due down by the CN</t>
  </si>
  <si>
    <t>TC-LCN-05 / 07</t>
  </si>
  <si>
    <t>TC-LCN-05 / 07 - CN equal to the invoice (same qty and rate): invoice fully credited, CN fully used</t>
  </si>
  <si>
    <t>TC-LCN-06</t>
  </si>
  <si>
    <t>TC-LCN-06 - CN quantity above the linked invoice quantity is refused</t>
  </si>
  <si>
    <t>TC-LCN-08 / CT TC-CN-06</t>
  </si>
  <si>
    <t>TC-LCN-08 / CT TC-CN-06 - CN total above the linked invoice total is refused (on create and on edit)</t>
  </si>
  <si>
    <t>TC-LCN-10 / 11 / CT TC-CN-07</t>
  </si>
  <si>
    <t>TC-LCN-10 / 11 / CT TC-CN-07 - Deleting a linked CN asks for confirmation, restores the invoice due and takes the stock back out</t>
  </si>
  <si>
    <t>TC-LCN-12</t>
  </si>
  <si>
    <t>TC-LCN-12 - An invoice with a linked credit note cannot be deleted</t>
  </si>
  <si>
    <t>TC-LCN-14</t>
  </si>
  <si>
    <t>TC-LCN-14 - Replacing the item on the invoice after a CN is linked: invoice saves, CN stays linked</t>
  </si>
  <si>
    <t>TC-LCN-16</t>
  </si>
  <si>
    <t>TC-LCN-16 - Replacing the item on a linked CN with one not on the invoice gets a warning</t>
  </si>
  <si>
    <t>TC-LCN-17 / 18</t>
  </si>
  <si>
    <t>TC-LCN-17 / 18 - Extra item not on the invoice: saved, total includes it, still linked, stock up for the extra item</t>
  </si>
  <si>
    <t>TC-LCN-21</t>
  </si>
  <si>
    <t>TC-LCN-21 - Unlinking the invoice in the CN: amount change is accepted</t>
  </si>
  <si>
    <t>TC-LCN-22</t>
  </si>
  <si>
    <t>TC-LCN-22 - After unlinking the invoice, adding items to the CN is refused</t>
  </si>
  <si>
    <t>TC-LCN-23 / 24 / 26</t>
  </si>
  <si>
    <t>TC-LCN-23 / 24 / 26 - After unlinking, the invoice rate and items can change and the CN amount stays the same</t>
  </si>
  <si>
    <t>TC-LCN-25</t>
  </si>
  <si>
    <t>TC-LCN-25 - After unlinking, editing the CN does not change the invoice due</t>
  </si>
  <si>
    <t>TC-UCN-05</t>
  </si>
  <si>
    <t>TC-UCN-05 - Linking a partly paid invoice: CN applied up to the invoice due, the rest stays remaining</t>
  </si>
  <si>
    <t>TC-UCN-06</t>
  </si>
  <si>
    <t>TC-UCN-06 - Linking an invoice while editing an unlinked CN does not auto-apply it</t>
  </si>
  <si>
    <t>TC-UCN-07</t>
  </si>
  <si>
    <t>TC-UCN-07 - Changing the linked invoice on edit links the new one; CN amount unchanged</t>
  </si>
  <si>
    <t>TC-UCN-08 / 10</t>
  </si>
  <si>
    <t>TC-UCN-08 / 10 - Same customer, different item and smaller amount than the invoice: mapping saved</t>
  </si>
  <si>
    <t>TC-LCN-27 / 28 / TC-UCN-13 / 14</t>
  </si>
  <si>
    <t>TC-LCN-27 / 28 / TC-UCN-13 / 14 - Apply to Invoices lists only this customer's invoices</t>
  </si>
  <si>
    <t>TC-UCN-15 / 18</t>
  </si>
  <si>
    <t>TC-UCN-15 / 18 - Partial apply: invoice due and CN remaining drop by the amount; items and rates unchanged on both</t>
  </si>
  <si>
    <t>TC-UCN-16 / 19 / CT TC-CN-09</t>
  </si>
  <si>
    <t>TC-UCN-16 / 19 / CT TC-CN-09 - Full apply: invoice due 0 and CN remaining 0; both shown in the statement</t>
  </si>
  <si>
    <t>TC-UCN-17</t>
  </si>
  <si>
    <t>TC-UCN-17 - Applying more than the invoice balance is refused</t>
  </si>
  <si>
    <t>TC-UCN-20</t>
  </si>
  <si>
    <t>TC-UCN-20 - Applying more than the credit note balance is refused</t>
  </si>
  <si>
    <t>TC-UCN-21</t>
  </si>
  <si>
    <t>TC-UCN-21 - One CN split over two invoices: CN remaining 0, both invoices settled</t>
  </si>
  <si>
    <t>TC-UCN-22</t>
  </si>
  <si>
    <t>TC-UCN-22 - Lowering a CN below its applied amount: refused, or the application shrinks (never a negative remaining)</t>
  </si>
  <si>
    <t>CT TC-CN-01 / 03 / 10</t>
  </si>
  <si>
    <t>CT TC-CN-01 / 03 / 10 - Three credit notes (linked and unlinked) appear in the customer statement and Credit Notes tab with their amounts</t>
  </si>
  <si>
    <t>CT TC-CN-08</t>
  </si>
  <si>
    <t>CT TC-CN-08 - Deleting a partly applied credit note is refused</t>
  </si>
  <si>
    <t>CT TC-BC-06 / TC-TD-08</t>
  </si>
  <si>
    <t>CT TC-BC-06 / TC-TD-08 - Invoice, sales order, payment and credit note: due moves by invoice − payment − CN, the order does not count</t>
  </si>
  <si>
    <t>CT TC-BC-07 / TC-ST-08</t>
  </si>
  <si>
    <t>CT TC-BC-07 / TC-ST-08 - Invoices 20 + 15 (+1 deleted), first edited to 10, payment, CN 5: stock and closing balance correct</t>
  </si>
  <si>
    <t>TC-CN-17</t>
  </si>
  <si>
    <t>TC-CN-17 - Warehouse filter limits items to that warehouse (Only one warehouse ("Default").)</t>
  </si>
  <si>
    <t>TC-UCN-09</t>
  </si>
  <si>
    <t>TC-UCN-09 - Linked invoice from a different warehouse (Only one warehouse ("Default").)</t>
  </si>
  <si>
    <t>TC-CN-21</t>
  </si>
  <si>
    <t>TC-CN-21 - Select a sales person (No sales persons exist in the test org.)</t>
  </si>
  <si>
    <t>TC-LCN-13</t>
  </si>
  <si>
    <t>TC-LCN-13 - Change the item unit on the invoice after a CN is linked (Priced test items are single-UOM; UOM conversion is covered by TC01–TC29.)</t>
  </si>
  <si>
    <t>TC-LCN-15</t>
  </si>
  <si>
    <t>TC-LCN-15 - Change the item unit on a linked CN (Priced test items are single-UOM; UOM conversion is covered by TC01–TC29.)</t>
  </si>
  <si>
    <t>TC-LCN-29</t>
  </si>
  <si>
    <t>TC-LCN-29 - Remove the copied linked item on the CN (Linking does not copy invoice lines into the CN — there is no "linked item".)</t>
  </si>
  <si>
    <t>TC-LCN-30</t>
  </si>
  <si>
    <t>TC-LCN-30 - Remove the copied linked item on the invoice (Linking does not copy invoice lines into the CN — there is no "linked item".)</t>
  </si>
  <si>
    <t>Payment &amp; Credit Note</t>
  </si>
  <si>
    <t>PCF TC-PE-16</t>
  </si>
  <si>
    <t>PCF TC-PE-16 - Editing the payment of a fully settled invoice is blocked</t>
  </si>
  <si>
    <t>@pcf @sales</t>
  </si>
  <si>
    <t>PCF TC-DE-02</t>
  </si>
  <si>
    <t>PCF TC-DE-02 - Payment date edited to an earlier date is saved</t>
  </si>
  <si>
    <t>PCF TC-DE-03</t>
  </si>
  <si>
    <t>PCF TC-DE-03 - Payment date edited to the invoice date is saved</t>
  </si>
  <si>
    <t>PCF TC-DE-04</t>
  </si>
  <si>
    <t>PCF TC-DE-04 - Editing the payment date to a future date is refused</t>
  </si>
  <si>
    <t>PCF TC-DE-05</t>
  </si>
  <si>
    <t>PCF TC-DE-05 - Editing the payment date to a date before the invoice is refused</t>
  </si>
  <si>
    <t>PCF TC-DE-06</t>
  </si>
  <si>
    <t>PCF TC-DE-06 - Editing the invoice date after a partial payment is refused</t>
  </si>
  <si>
    <t>PCF TC-DA-02</t>
  </si>
  <si>
    <t>PCF TC-DA-02 - Invoice amount raised after a partial payment: due = new total − paid</t>
  </si>
  <si>
    <t>PCF TC-CP-03</t>
  </si>
  <si>
    <t>PCF TC-CP-03 - Two credit notes applied to one invoice: invoice Paid, both credit notes used up</t>
  </si>
  <si>
    <t>PCF TC-CP-09</t>
  </si>
  <si>
    <t>PCF TC-CP-09 - A fully paid invoice is not offered in Apply to Invoices</t>
  </si>
  <si>
    <t>PCF TC-CC-11 / 17</t>
  </si>
  <si>
    <t>PCF TC-CC-11 / 17 - A credit note cannot be raised against a fully paid invoice</t>
  </si>
  <si>
    <t>PCF TC-CP-10</t>
  </si>
  <si>
    <t>PCF TC-CP-10 - A future-dated credit note cannot be applied to an earlier invoice</t>
  </si>
  <si>
    <t>PCF TC-CC-19</t>
  </si>
  <si>
    <t>PCF TC-CC-19 - Paid invoice, then a credit note raised and increased: saved with the new amount</t>
  </si>
  <si>
    <t>PCF TC-CC-22</t>
  </si>
  <si>
    <t>PCF TC-CC-22 - A linked credit note dated after the invoice's payment date is refused</t>
  </si>
  <si>
    <t>PCF TC-CI-02</t>
  </si>
  <si>
    <t>PCF TC-CI-02 - Full return: invoice 20, credit note 20 → stock fully restored</t>
  </si>
  <si>
    <t>PCF TC-CI-03 / TC-CC-02</t>
  </si>
  <si>
    <t>PCF TC-CI-03 / TC-CC-02 - Two items sold 20 / 15, returned 10 / 5 on one credit note: each stock correct</t>
  </si>
  <si>
    <t>PCF TC-CI-07</t>
  </si>
  <si>
    <t>PCF TC-CI-07 - A credit note for an item with zero stock is refused</t>
  </si>
  <si>
    <t>PCF TC-CI-09</t>
  </si>
  <si>
    <t>PCF TC-CI-09 - A deleted invoice is no longer offered for a credit note</t>
  </si>
  <si>
    <t>Customer Create / Edit</t>
  </si>
  <si>
    <t>TC-S1-01 / 02 / TC-S2-01 / TC-S3-01</t>
  </si>
  <si>
    <t>TC-S1-01 / 02 / TC-S2-01 / TC-S3-01 - New customer form shows every field on one form (adapted from 3 steps); Business Location India (display); GST status Registered / UnRegistered</t>
  </si>
  <si>
    <t>@customer @sales</t>
  </si>
  <si>
    <t>TC-S1-04 / 14 / 30 / TC-S3-04</t>
  </si>
  <si>
    <t>TC-S1-04 / 14 / 30 / TC-S3-04 - Saving an empty form: Name, Business Type and GST Status are required</t>
  </si>
  <si>
    <t>TC-S1-05</t>
  </si>
  <si>
    <t>TC-S1-05 - A name of spaces only is refused ("Name is Required")</t>
  </si>
  <si>
    <t>TC-S1-03</t>
  </si>
  <si>
    <t>TC-S1-03 - Customer named "Krishna Sweets …" is created and listed</t>
  </si>
  <si>
    <t>TC-S1-06</t>
  </si>
  <si>
    <t>TC-S1-06 - Customer named "Krishna &amp; Sons Pvt. Ltd. …" is created and listed</t>
  </si>
  <si>
    <t>TC-S1-07</t>
  </si>
  <si>
    <t>TC-S1-07 - Customer named "Store 99 Distributors …" is created and listed</t>
  </si>
  <si>
    <t>TC-S1-08</t>
  </si>
  <si>
    <t>TC-S1-08 - A 300-character name is truncated or refused</t>
  </si>
  <si>
    <t>TC-S1-09 / TC-S3-13</t>
  </si>
  <si>
    <t>TC-S1-09 / TC-S3-13 - A duplicate customer name is refused</t>
  </si>
  <si>
    <t>TC-S1-10 / 11 / 12 / 13</t>
  </si>
  <si>
    <t>TC-S1-10 / 11 / 12 / 13 - Retailer, Wholesaler, Manufacturer, Distributor (Distributor/Agency) can be picked and each loads its categories</t>
  </si>
  <si>
    <t>TC-S1-15 / 18</t>
  </si>
  <si>
    <t>TC-S1-15 / 18 - Changing the Business Type resets the category and offers that type's categories</t>
  </si>
  <si>
    <t>TC-S1-17</t>
  </si>
  <si>
    <t>TC-S1-17 - Business Category is optional: customer saved without one</t>
  </si>
  <si>
    <t>TC-S1-16 / 19 / 21 / TC-S2-02 / 09 / 14 / 17 / 18 / 20 / 22 / TC-S3-10 / 12</t>
  </si>
  <si>
    <t>TC-S1-16 / 19 / 21 / TC-S2-02 / 09 / 14 / 17 / 18 / 20 / 22 / TC-S3-10 / 12 - Customer with every field: all details saved (type, category, two tags, phone, sub-domain email, billing without line 2, shipping = billing)</t>
  </si>
  <si>
    <t>TC-S1-22 / TC-OB-01 / 04 / CT TC-TD-02</t>
  </si>
  <si>
    <t>TC-S1-22 / TC-OB-01 / 04 / CT TC-TD-02 - Debit opening balance ₹5,000: customer Due and statement show it</t>
  </si>
  <si>
    <t>TC-S1-23 / 28 / TC-OB-02 / 14</t>
  </si>
  <si>
    <t>TC-S1-23 / 28 / TC-OB-02 / 14 - Opening balance type can be Credit (and switched Debit ↔ Credit)</t>
  </si>
  <si>
    <t>TC-S1-24 / TC-OB-03 / CT TC-TD-10</t>
  </si>
  <si>
    <t>TC-S1-24 / TC-OB-03 / CT TC-TD-10 - No opening balance: Due and Closing ₹0, statement empty</t>
  </si>
  <si>
    <t>TC-S1-25</t>
  </si>
  <si>
    <t>TC-S1-25 - Opening balance "-1000" is refused</t>
  </si>
  <si>
    <t>TC-S1-26 / TC-OB-16</t>
  </si>
  <si>
    <t>TC-S1-26 / TC-OB-16 - Opening balance "abc" is refused</t>
  </si>
  <si>
    <t>TC-S1-27 / TC-OB-17</t>
  </si>
  <si>
    <t>TC-S1-27 / TC-OB-17 - Decimal opening balance 500.89 is kept to 2 decimals</t>
  </si>
  <si>
    <t>CT TC-BC-01</t>
  </si>
  <si>
    <t>CT TC-BC-01 - Opening balance + invoice: Closing Balance = opening + invoice</t>
  </si>
  <si>
    <t>TC-OB-07 / 08 / 09 / 10</t>
  </si>
  <si>
    <t>TC-OB-07 / 08 / 09 / 10 - Opening balance edited 5,000 → 8,000 → 4,000 → 0 (no payments): Due follows</t>
  </si>
  <si>
    <t>TC-OB-05 / 06 / 18 / Bulk TC-UI-26 / TC-BP-16</t>
  </si>
  <si>
    <t>TC-OB-05 / 06 / 18 / Bulk TC-UI-26 / TC-BP-16 - Opening balance row in New Receipt; paying it clears the Due</t>
  </si>
  <si>
    <t>TC-OB-11</t>
  </si>
  <si>
    <t>TC-OB-11 - Opening balance cannot be edited after a partial payment</t>
  </si>
  <si>
    <t>TC-OB-12</t>
  </si>
  <si>
    <t>TC-OB-12 - Opening balance cannot be edited after a full payment</t>
  </si>
  <si>
    <t>TC-OB-13</t>
  </si>
  <si>
    <t>TC-OB-13 - Opening balance edited to a negative value is refused</t>
  </si>
  <si>
    <t>TC-OB-15</t>
  </si>
  <si>
    <t>TC-OB-15 - Opening balance partly paid: Due = opening − paid in the customer header and statement</t>
  </si>
  <si>
    <t>TC-S2-04</t>
  </si>
  <si>
    <t>TC-S2-04 - Phone "abc1234567" is refused or reduced to 10 digits</t>
  </si>
  <si>
    <t>TC-S2-05</t>
  </si>
  <si>
    <t>TC-S2-05 - Phone "98765" is refused or reduced to 10 digits</t>
  </si>
  <si>
    <t>TC-S2-06</t>
  </si>
  <si>
    <t>TC-S2-06 - Phone "987654321099" is refused or reduced to 10 digits</t>
  </si>
  <si>
    <t>TC-S2-07</t>
  </si>
  <si>
    <t>TC-S2-07 - Phone "+91-9876543210" is refused or reduced to 10 digits</t>
  </si>
  <si>
    <t>TC-S2-08</t>
  </si>
  <si>
    <t>TC-S2-08 - Phone starting with 0: either accepted or refused with a phone message</t>
  </si>
  <si>
    <t>TC-S2-11</t>
  </si>
  <si>
    <t>TC-S2-11 - Email "testexample.com" is refused ("Invalid Email!")</t>
  </si>
  <si>
    <t>TC-S2-12</t>
  </si>
  <si>
    <t>TC-S2-12 - Email "test@" is refused ("Invalid Email!")</t>
  </si>
  <si>
    <t>@" @customer @sales</t>
  </si>
  <si>
    <t>TC-S2-13</t>
  </si>
  <si>
    <t>TC-S2-13 - Email "test @example.com" is refused ("Invalid Email!")</t>
  </si>
  <si>
    <t>@customer @example.com" @sales</t>
  </si>
  <si>
    <t>TC-S2-15</t>
  </si>
  <si>
    <t>TC-S2-15 - Add Address opens the billing form with "Use Billing address as your Shipping Address" ticked</t>
  </si>
  <si>
    <t>TC-S2-19 (letters)</t>
  </si>
  <si>
    <t>TC-S2-19 (letters) - Pincode "ABCDE" is refused</t>
  </si>
  <si>
    <t>TC-S2-19 (5 digits)</t>
  </si>
  <si>
    <t>TC-S2-19 (5 digits) - Pincode "12345" is refused</t>
  </si>
  <si>
    <t>TC-S2-21</t>
  </si>
  <si>
    <t>TC-S2-21 - Billing address without Address Line 1 is refused</t>
  </si>
  <si>
    <t>TC-S2-23</t>
  </si>
  <si>
    <t>TC-S2-23 - A different shipping address is saved separately</t>
  </si>
  <si>
    <t>TC-S2-24</t>
  </si>
  <si>
    <t>TC-S2-24 - Shipping address left blank: only the billing address is saved</t>
  </si>
  <si>
    <t>TC-S3-02 / 05</t>
  </si>
  <si>
    <t>TC-S3-02 / 05 - Registered customer with a valid GSTIN is created</t>
  </si>
  <si>
    <t>TC-S3-06</t>
  </si>
  <si>
    <t>TC-S3-06 - Registered with GSTIN "33ABCDE1234" is refused</t>
  </si>
  <si>
    <t>TC-S3-07</t>
  </si>
  <si>
    <t>TC-S3-07 - Registered with GSTIN "INVALID123" is refused</t>
  </si>
  <si>
    <t>TC-S3-08</t>
  </si>
  <si>
    <t>TC-S3-08 - Registered with GSTIN "" is refused</t>
  </si>
  <si>
    <t>TC-CE-01 / 28 / CT TC-VD-02 / 08</t>
  </si>
  <si>
    <t>TC-CE-01 / 28 / CT TC-VD-02 / 08 - Renaming a customer with invoices: details and existing invoices show the new name</t>
  </si>
  <si>
    <t>TC-CE-02 / CT TC-VD-07</t>
  </si>
  <si>
    <t>TC-CE-02 / CT TC-VD-07 - Clearing the name on edit is refused</t>
  </si>
  <si>
    <t>TC-CE-03 / 04 / 05</t>
  </si>
  <si>
    <t>TC-CE-03 / 04 / 05 - Business Type changed Wholesaler → Distributor/Agency → Manufacturer on edit</t>
  </si>
  <si>
    <t>TC-CE-07</t>
  </si>
  <si>
    <t>TC-CE-07 - Business Category changed on edit</t>
  </si>
  <si>
    <t>TC-CE-08</t>
  </si>
  <si>
    <t>TC-CE-08 - Business Tag added on edit</t>
  </si>
  <si>
    <t>TC-CE-10 / 11 / 13 / CT TC-VD-06</t>
  </si>
  <si>
    <t>TC-CE-10 / 11 / 13 / CT TC-VD-06 - Phone and email added, then the phone changed on edit</t>
  </si>
  <si>
    <t>TC-CE-12</t>
  </si>
  <si>
    <t>TC-CE-12 - Phone edited to 5 digits is refused</t>
  </si>
  <si>
    <t>TC-CE-14</t>
  </si>
  <si>
    <t>TC-CE-14 - Email edited to "notanemail" is refused</t>
  </si>
  <si>
    <t>TC-CE-15 / 16 / 18 / 19</t>
  </si>
  <si>
    <t>TC-CE-15 / 16 / 18 / 19 - Address added, then billing changed and shipping set separately, then shipping synced to billing</t>
  </si>
  <si>
    <t>TC-CE-17 / CT TC-VD-04</t>
  </si>
  <si>
    <t>TC-CE-17 / CT TC-VD-04 - Billing state changed to Kerala: a new invoice uses IGST</t>
  </si>
  <si>
    <t>TC-CE-20</t>
  </si>
  <si>
    <t>TC-CE-20 - Pincode edited to "ABCDE" is refused</t>
  </si>
  <si>
    <t>TC-CE-21 / 22 / 23 / CT TC-VD-05</t>
  </si>
  <si>
    <t>TC-CE-21 / 22 / 23 / CT TC-VD-05 - GST status can be edited on the customer details</t>
  </si>
  <si>
    <t>TC-CE-25</t>
  </si>
  <si>
    <t>TC-CE-25 - Cancelling a field edit keeps the original value</t>
  </si>
  <si>
    <t>TC-CE-26 / 27</t>
  </si>
  <si>
    <t>TC-CE-26 / 27 - A customer can be deleted (no transactions) and is blocked with transactions</t>
  </si>
  <si>
    <t>TC-CE-26 (adapted)</t>
  </si>
  <si>
    <t>TC-CE-26 (adapted) - "Inactive" removes the customer from the customer list</t>
  </si>
  <si>
    <t>TC-S2-25</t>
  </si>
  <si>
    <t>TC-S2-25 - Back from Step 2 keeps Step 1 data (The customer form is a single page — no steps / Back.)</t>
  </si>
  <si>
    <t>TC-S3-09</t>
  </si>
  <si>
    <t>TC-S3-09 - Back from Step 3 keeps Step 2 data (The customer form is a single page — no steps / Back.)</t>
  </si>
  <si>
    <t>TC-CE-09 / CT TC-VD-03</t>
  </si>
  <si>
    <t>TC-CE-09 / CT TC-VD-03 - Business type change switches the invoice price list (No customer-specific price lists — PriceList sheet.)</t>
  </si>
  <si>
    <t>TC-CE-24</t>
  </si>
  <si>
    <t>TC-CE-24 - GST status change: existing invoices unaffected (GST status cannot be edited (TC-CE-21).)</t>
  </si>
  <si>
    <t>smoke</t>
  </si>
  <si>
    <t>smoke/01_login.spec.js</t>
  </si>
  <si>
    <t>Login</t>
  </si>
  <si>
    <t>TC01 - Verify admin can log in and switch into the test organisation</t>
  </si>
  <si>
    <t>@smoke</t>
  </si>
  <si>
    <t>unit_flows</t>
  </si>
  <si>
    <t>unit_flows/CustomerPayment_Unit.spec.js</t>
  </si>
  <si>
    <t>CustomerPayment_Unit</t>
  </si>
  <si>
    <t>TC01 - Create a bulk payment against the customer's due invoices and verify invoice dues and customer balances</t>
  </si>
  <si>
    <t>@payment @unit</t>
  </si>
  <si>
    <t>TC02 - Edit the bulk payment and verify invoice dues and customer balances</t>
  </si>
  <si>
    <t>TC03 - Delete the bulk payment and verify customer balances return to their original values</t>
  </si>
  <si>
    <t>TC04 - Receive a payment against a Sales Invoice, verify its due, then unlink it and verify the due is restored</t>
  </si>
  <si>
    <t>unit_flows/Purchase_Unit.spec.js</t>
  </si>
  <si>
    <t>Purchase_Unit</t>
  </si>
  <si>
    <t>TC01 - Create an Item with Opening Stock in the Invoice module</t>
  </si>
  <si>
    <t>@purchase @unit</t>
  </si>
  <si>
    <t>TC02 - Create a Purchase Invoice for the item and verify the Inventory stock</t>
  </si>
  <si>
    <t>TC03 - After PI create: Stock Statement (Fieldforce) matches Inventory stock</t>
  </si>
  <si>
    <t>TC04 - After PI create: Sales Invoice quantity alert matches Inventory stock</t>
  </si>
  <si>
    <t>TC05 - After PI create: Stock Adjustment quantities per UOM match Inventory stock</t>
  </si>
  <si>
    <t>TC06 - Edit the Purchase Invoice and verify the Inventory stock</t>
  </si>
  <si>
    <t>TC07 - After PI edit: Stock Statement (Fieldforce) matches Inventory stock</t>
  </si>
  <si>
    <t>TC08 - After PI edit: Sales Invoice quantity alert matches Inventory stock</t>
  </si>
  <si>
    <t>TC09 - After PI edit: Stock Adjustment quantities per UOM match Inventory stock</t>
  </si>
  <si>
    <t>TC10 - Delete the Purchase Invoice and verify the Inventory stock</t>
  </si>
  <si>
    <t>TC11 - After PI delete: Stock Statement (Fieldforce) matches Inventory stock</t>
  </si>
  <si>
    <t>TC12 - After PI delete: Sales Invoice quantity alert matches Inventory stock</t>
  </si>
  <si>
    <t>TC13 - After PI delete: Stock Adjustment quantities per UOM match Inventory stock</t>
  </si>
  <si>
    <t>TC14 - Create a Purchase Invoice with discounts / shipping / TDS / adjustment and verify vendor Due, Closing Balance and Transaction Statement</t>
  </si>
  <si>
    <t>TC15 - Edit that Purchase Invoice and verify vendor Due, Closing Balance and Transaction Statement</t>
  </si>
  <si>
    <t>TC16 - Delete that Purchase Invoice and verify vendor balances return to their original values</t>
  </si>
  <si>
    <t>unit_flows/Sales_Unit.spec.js</t>
  </si>
  <si>
    <t>Sales_Unit</t>
  </si>
  <si>
    <t>TC01 - Create an Item with Opening Stock and stock it up via a Purchase Invoice</t>
  </si>
  <si>
    <t>@sales @unit</t>
  </si>
  <si>
    <t>TC02 - Create a Sales Invoice for the item and verify the Inventory stock</t>
  </si>
  <si>
    <t>TC03 - After SI create: Stock Statement (Fieldforce) matches Inventory stock</t>
  </si>
  <si>
    <t>TC04 - After SI create: Sales Invoice quantity alert matches Inventory stock</t>
  </si>
  <si>
    <t>TC05 - After SI create: Stock Adjustment quantities per UOM match Inventory stock</t>
  </si>
  <si>
    <t>TC06 - Edit the Sales Invoice and verify the Inventory stock</t>
  </si>
  <si>
    <t>TC07 - After SI edit: Stock Statement (Fieldforce) matches Inventory stock</t>
  </si>
  <si>
    <t>TC08 - After SI edit: Sales Invoice quantity alert matches Inventory stock</t>
  </si>
  <si>
    <t>TC09 - After SI edit: Stock Adjustment quantities per UOM match Inventory stock</t>
  </si>
  <si>
    <t>TC10 - Cancel the Sales Invoice and verify the Inventory stock</t>
  </si>
  <si>
    <t>TC11 - After SI cancel: Stock Statement (Fieldforce) matches Inventory stock</t>
  </si>
  <si>
    <t>TC12 - After SI cancel: Sales Invoice quantity alert matches Inventory stock</t>
  </si>
  <si>
    <t>TC13 - After SI cancel: Stock Adjustment quantities per UOM match Inventory stock</t>
  </si>
  <si>
    <t>TC14 - Delete the Sales Invoice and verify the Inventory stock</t>
  </si>
  <si>
    <t>TC15 - After SI delete: Stock Statement (Fieldforce) matches Inventory stock</t>
  </si>
  <si>
    <t>TC16 - After SI delete: Sales Invoice quantity alert matches Inventory stock</t>
  </si>
  <si>
    <t>TC17 - After SI delete: Stock Adjustment quantities per UOM match Inventory stock</t>
  </si>
  <si>
    <t>TC18 - Create a Sales Invoice with discounts / shipping / TDS / adjustment and verify customer Due, Closing Balance and Transaction Statement</t>
  </si>
  <si>
    <t>TC19 - Edit that Sales Invoice and verify customer Due, Closing Balance and Transaction Statement</t>
  </si>
  <si>
    <t>TC20 - Cancel that Sales Invoice and verify customer balances return to their original values</t>
  </si>
  <si>
    <t>TC21 - Delete the cancelled Sales Invoice and verify customer balances are unchanged</t>
  </si>
  <si>
    <t>Total Tests</t>
  </si>
  <si>
    <t>Regression = Y</t>
  </si>
  <si>
    <t>Smoke = Y</t>
  </si>
  <si>
    <t>Not yet marked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</si>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</sst>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7"/>
  <sheetViews>
    <sheetView tabSelected="1" workbookViewId="0">
      <pane xSplit="2" ySplit="1" topLeftCell="C949" activePane="bottomRight" state="frozen"/>
      <selection pane="topRight"/>
      <selection pane="bottomLeft"/>
      <selection pane="bottomRight" activeCell="C964" sqref="C964"/>
    </sheetView>
  </sheetViews>
  <sheetFormatPr defaultRowHeight="14.4" x14ac:dyDescent="0.3"/>
  <cols>
    <col min="1" max="1" width="7" customWidth="1"/>
    <col min="2" max="2" width="11" customWidth="1"/>
    <col min="3" max="3" width="38" customWidth="1"/>
    <col min="4" max="4" width="7" customWidth="1"/>
    <col min="5" max="5" width="34" customWidth="1"/>
    <col min="6" max="6" width="26" customWidth="1"/>
    <col min="7" max="7" width="80" customWidth="1"/>
    <col min="8" max="8" width="26" customWidth="1"/>
    <col min="9" max="9" width="15" customWidth="1"/>
    <col min="10" max="10" width="12" customWidth="1"/>
    <col min="11" max="11" width="10" customWidth="1"/>
    <col min="12" max="12" width="22" customWidth="1"/>
    <col min="13" max="13" width="30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</v>
      </c>
      <c r="B2" s="2" t="s">
        <v>13</v>
      </c>
      <c r="C2" s="2" t="s">
        <v>14</v>
      </c>
      <c r="D2" s="2">
        <v>21</v>
      </c>
      <c r="E2" s="3" t="s">
        <v>15</v>
      </c>
      <c r="F2" s="3" t="s">
        <v>16</v>
      </c>
      <c r="G2" s="3" t="s">
        <v>17</v>
      </c>
      <c r="H2" s="2"/>
      <c r="I2" s="4"/>
      <c r="J2" s="4"/>
      <c r="K2" s="4"/>
      <c r="L2" s="5"/>
      <c r="M2" s="3"/>
    </row>
    <row r="3" spans="1:13" x14ac:dyDescent="0.3">
      <c r="A3" s="2">
        <v>2</v>
      </c>
      <c r="B3" s="2" t="s">
        <v>13</v>
      </c>
      <c r="C3" s="2" t="s">
        <v>14</v>
      </c>
      <c r="D3" s="2">
        <v>33</v>
      </c>
      <c r="E3" s="3" t="s">
        <v>15</v>
      </c>
      <c r="F3" s="3" t="s">
        <v>18</v>
      </c>
      <c r="G3" s="3" t="s">
        <v>19</v>
      </c>
      <c r="H3" s="2"/>
      <c r="I3" s="4"/>
      <c r="J3" s="4"/>
      <c r="K3" s="4"/>
      <c r="L3" s="5"/>
      <c r="M3" s="3"/>
    </row>
    <row r="4" spans="1:13" x14ac:dyDescent="0.3">
      <c r="A4" s="2">
        <v>3</v>
      </c>
      <c r="B4" s="2" t="s">
        <v>13</v>
      </c>
      <c r="C4" s="2" t="s">
        <v>14</v>
      </c>
      <c r="D4" s="2">
        <v>45</v>
      </c>
      <c r="E4" s="3" t="s">
        <v>15</v>
      </c>
      <c r="F4" s="3" t="s">
        <v>20</v>
      </c>
      <c r="G4" s="3" t="s">
        <v>21</v>
      </c>
      <c r="H4" s="2"/>
      <c r="I4" s="4"/>
      <c r="J4" s="4"/>
      <c r="K4" s="4"/>
      <c r="L4" s="5"/>
      <c r="M4" s="3"/>
    </row>
    <row r="5" spans="1:13" x14ac:dyDescent="0.3">
      <c r="A5" s="2">
        <v>4</v>
      </c>
      <c r="B5" s="2" t="s">
        <v>13</v>
      </c>
      <c r="C5" s="2" t="s">
        <v>14</v>
      </c>
      <c r="D5" s="2">
        <v>57</v>
      </c>
      <c r="E5" s="3" t="s">
        <v>15</v>
      </c>
      <c r="F5" s="3" t="s">
        <v>22</v>
      </c>
      <c r="G5" s="3" t="s">
        <v>23</v>
      </c>
      <c r="H5" s="2"/>
      <c r="I5" s="4"/>
      <c r="J5" s="4"/>
      <c r="K5" s="4"/>
      <c r="L5" s="5"/>
      <c r="M5" s="3"/>
    </row>
    <row r="6" spans="1:13" x14ac:dyDescent="0.3">
      <c r="A6" s="2">
        <v>5</v>
      </c>
      <c r="B6" s="2" t="s">
        <v>13</v>
      </c>
      <c r="C6" s="2" t="s">
        <v>14</v>
      </c>
      <c r="D6" s="2">
        <v>69</v>
      </c>
      <c r="E6" s="3" t="s">
        <v>15</v>
      </c>
      <c r="F6" s="3" t="s">
        <v>24</v>
      </c>
      <c r="G6" s="3" t="s">
        <v>25</v>
      </c>
      <c r="H6" s="2"/>
      <c r="I6" s="4"/>
      <c r="J6" s="4"/>
      <c r="K6" s="4"/>
      <c r="L6" s="5"/>
      <c r="M6" s="3"/>
    </row>
    <row r="7" spans="1:13" x14ac:dyDescent="0.3">
      <c r="A7" s="2">
        <v>6</v>
      </c>
      <c r="B7" s="2" t="s">
        <v>13</v>
      </c>
      <c r="C7" s="2" t="s">
        <v>14</v>
      </c>
      <c r="D7" s="2">
        <v>82</v>
      </c>
      <c r="E7" s="3" t="s">
        <v>15</v>
      </c>
      <c r="F7" s="3" t="s">
        <v>26</v>
      </c>
      <c r="G7" s="3" t="s">
        <v>27</v>
      </c>
      <c r="H7" s="2"/>
      <c r="I7" s="4"/>
      <c r="J7" s="4"/>
      <c r="K7" s="4"/>
      <c r="L7" s="5"/>
      <c r="M7" s="3"/>
    </row>
    <row r="8" spans="1:13" x14ac:dyDescent="0.3">
      <c r="A8" s="2">
        <v>7</v>
      </c>
      <c r="B8" s="2" t="s">
        <v>13</v>
      </c>
      <c r="C8" s="2" t="s">
        <v>14</v>
      </c>
      <c r="D8" s="2">
        <v>94</v>
      </c>
      <c r="E8" s="3" t="s">
        <v>15</v>
      </c>
      <c r="F8" s="3" t="s">
        <v>28</v>
      </c>
      <c r="G8" s="3" t="s">
        <v>29</v>
      </c>
      <c r="H8" s="2"/>
      <c r="I8" s="4"/>
      <c r="J8" s="4"/>
      <c r="K8" s="4"/>
      <c r="L8" s="5"/>
      <c r="M8" s="3"/>
    </row>
    <row r="9" spans="1:13" x14ac:dyDescent="0.3">
      <c r="A9" s="2">
        <v>8</v>
      </c>
      <c r="B9" s="2" t="s">
        <v>13</v>
      </c>
      <c r="C9" s="2" t="s">
        <v>14</v>
      </c>
      <c r="D9" s="2">
        <v>106</v>
      </c>
      <c r="E9" s="3" t="s">
        <v>15</v>
      </c>
      <c r="F9" s="3" t="s">
        <v>30</v>
      </c>
      <c r="G9" s="3" t="s">
        <v>31</v>
      </c>
      <c r="H9" s="2"/>
      <c r="I9" s="4"/>
      <c r="J9" s="4"/>
      <c r="K9" s="4"/>
      <c r="L9" s="5"/>
      <c r="M9" s="3"/>
    </row>
    <row r="10" spans="1:13" x14ac:dyDescent="0.3">
      <c r="A10" s="2">
        <v>9</v>
      </c>
      <c r="B10" s="2" t="s">
        <v>13</v>
      </c>
      <c r="C10" s="2" t="s">
        <v>14</v>
      </c>
      <c r="D10" s="2">
        <v>118</v>
      </c>
      <c r="E10" s="3" t="s">
        <v>15</v>
      </c>
      <c r="F10" s="3" t="s">
        <v>32</v>
      </c>
      <c r="G10" s="3" t="s">
        <v>33</v>
      </c>
      <c r="H10" s="2"/>
      <c r="I10" s="4"/>
      <c r="J10" s="4"/>
      <c r="K10" s="4"/>
      <c r="L10" s="5"/>
      <c r="M10" s="3"/>
    </row>
    <row r="11" spans="1:13" x14ac:dyDescent="0.3">
      <c r="A11" s="2">
        <v>10</v>
      </c>
      <c r="B11" s="2" t="s">
        <v>13</v>
      </c>
      <c r="C11" s="2" t="s">
        <v>14</v>
      </c>
      <c r="D11" s="2">
        <v>131</v>
      </c>
      <c r="E11" s="3" t="s">
        <v>15</v>
      </c>
      <c r="F11" s="3" t="s">
        <v>34</v>
      </c>
      <c r="G11" s="3" t="s">
        <v>35</v>
      </c>
      <c r="H11" s="2"/>
      <c r="I11" s="4"/>
      <c r="J11" s="4"/>
      <c r="K11" s="4"/>
      <c r="L11" s="5"/>
      <c r="M11" s="3"/>
    </row>
    <row r="12" spans="1:13" x14ac:dyDescent="0.3">
      <c r="A12" s="2">
        <v>11</v>
      </c>
      <c r="B12" s="2" t="s">
        <v>13</v>
      </c>
      <c r="C12" s="2" t="s">
        <v>14</v>
      </c>
      <c r="D12" s="2">
        <v>143</v>
      </c>
      <c r="E12" s="3" t="s">
        <v>15</v>
      </c>
      <c r="F12" s="3" t="s">
        <v>36</v>
      </c>
      <c r="G12" s="3" t="s">
        <v>37</v>
      </c>
      <c r="H12" s="2"/>
      <c r="I12" s="4"/>
      <c r="J12" s="4"/>
      <c r="K12" s="4"/>
      <c r="L12" s="5"/>
      <c r="M12" s="3"/>
    </row>
    <row r="13" spans="1:13" x14ac:dyDescent="0.3">
      <c r="A13" s="2">
        <v>12</v>
      </c>
      <c r="B13" s="2" t="s">
        <v>13</v>
      </c>
      <c r="C13" s="2" t="s">
        <v>14</v>
      </c>
      <c r="D13" s="2">
        <v>155</v>
      </c>
      <c r="E13" s="3" t="s">
        <v>15</v>
      </c>
      <c r="F13" s="3" t="s">
        <v>38</v>
      </c>
      <c r="G13" s="3" t="s">
        <v>39</v>
      </c>
      <c r="H13" s="2"/>
      <c r="I13" s="4"/>
      <c r="J13" s="4"/>
      <c r="K13" s="4"/>
      <c r="L13" s="5"/>
      <c r="M13" s="3"/>
    </row>
    <row r="14" spans="1:13" x14ac:dyDescent="0.3">
      <c r="A14" s="2">
        <v>13</v>
      </c>
      <c r="B14" s="2" t="s">
        <v>13</v>
      </c>
      <c r="C14" s="2" t="s">
        <v>14</v>
      </c>
      <c r="D14" s="2">
        <v>168</v>
      </c>
      <c r="E14" s="3" t="s">
        <v>15</v>
      </c>
      <c r="F14" s="3" t="s">
        <v>40</v>
      </c>
      <c r="G14" s="3" t="s">
        <v>41</v>
      </c>
      <c r="H14" s="2"/>
      <c r="I14" s="4"/>
      <c r="J14" s="4"/>
      <c r="K14" s="4"/>
      <c r="L14" s="5"/>
      <c r="M14" s="3"/>
    </row>
    <row r="15" spans="1:13" x14ac:dyDescent="0.3">
      <c r="A15" s="2">
        <v>14</v>
      </c>
      <c r="B15" s="2" t="s">
        <v>13</v>
      </c>
      <c r="C15" s="2" t="s">
        <v>14</v>
      </c>
      <c r="D15" s="2">
        <v>180</v>
      </c>
      <c r="E15" s="3" t="s">
        <v>15</v>
      </c>
      <c r="F15" s="3" t="s">
        <v>42</v>
      </c>
      <c r="G15" s="3" t="s">
        <v>43</v>
      </c>
      <c r="H15" s="2"/>
      <c r="I15" s="4"/>
      <c r="J15" s="4"/>
      <c r="K15" s="4"/>
      <c r="L15" s="5"/>
      <c r="M15" s="3"/>
    </row>
    <row r="16" spans="1:13" x14ac:dyDescent="0.3">
      <c r="A16" s="2">
        <v>15</v>
      </c>
      <c r="B16" s="2" t="s">
        <v>13</v>
      </c>
      <c r="C16" s="2" t="s">
        <v>14</v>
      </c>
      <c r="D16" s="2">
        <v>193</v>
      </c>
      <c r="E16" s="3" t="s">
        <v>15</v>
      </c>
      <c r="F16" s="3" t="s">
        <v>44</v>
      </c>
      <c r="G16" s="3" t="s">
        <v>45</v>
      </c>
      <c r="H16" s="2"/>
      <c r="I16" s="4"/>
      <c r="J16" s="4"/>
      <c r="K16" s="4"/>
      <c r="L16" s="5"/>
      <c r="M16" s="3"/>
    </row>
    <row r="17" spans="1:13" x14ac:dyDescent="0.3">
      <c r="A17" s="2">
        <v>16</v>
      </c>
      <c r="B17" s="2" t="s">
        <v>13</v>
      </c>
      <c r="C17" s="2" t="s">
        <v>14</v>
      </c>
      <c r="D17" s="2">
        <v>205</v>
      </c>
      <c r="E17" s="3" t="s">
        <v>15</v>
      </c>
      <c r="F17" s="3" t="s">
        <v>46</v>
      </c>
      <c r="G17" s="3" t="s">
        <v>47</v>
      </c>
      <c r="H17" s="2"/>
      <c r="I17" s="4"/>
      <c r="J17" s="4"/>
      <c r="K17" s="4"/>
      <c r="L17" s="5"/>
      <c r="M17" s="3"/>
    </row>
    <row r="18" spans="1:13" x14ac:dyDescent="0.3">
      <c r="A18" s="2">
        <v>17</v>
      </c>
      <c r="B18" s="2" t="s">
        <v>13</v>
      </c>
      <c r="C18" s="2" t="s">
        <v>14</v>
      </c>
      <c r="D18" s="2">
        <v>217</v>
      </c>
      <c r="E18" s="3" t="s">
        <v>15</v>
      </c>
      <c r="F18" s="3" t="s">
        <v>48</v>
      </c>
      <c r="G18" s="3" t="s">
        <v>49</v>
      </c>
      <c r="H18" s="2"/>
      <c r="I18" s="4"/>
      <c r="J18" s="4"/>
      <c r="K18" s="4"/>
      <c r="L18" s="5"/>
      <c r="M18" s="3"/>
    </row>
    <row r="19" spans="1:13" x14ac:dyDescent="0.3">
      <c r="A19" s="2">
        <v>18</v>
      </c>
      <c r="B19" s="2" t="s">
        <v>13</v>
      </c>
      <c r="C19" s="2" t="s">
        <v>14</v>
      </c>
      <c r="D19" s="2">
        <v>230</v>
      </c>
      <c r="E19" s="3" t="s">
        <v>15</v>
      </c>
      <c r="F19" s="3" t="s">
        <v>50</v>
      </c>
      <c r="G19" s="3" t="s">
        <v>51</v>
      </c>
      <c r="H19" s="2"/>
      <c r="I19" s="4"/>
      <c r="J19" s="4"/>
      <c r="K19" s="4"/>
      <c r="L19" s="5"/>
      <c r="M19" s="3"/>
    </row>
    <row r="20" spans="1:13" x14ac:dyDescent="0.3">
      <c r="A20" s="2">
        <v>19</v>
      </c>
      <c r="B20" s="2" t="s">
        <v>13</v>
      </c>
      <c r="C20" s="2" t="s">
        <v>14</v>
      </c>
      <c r="D20" s="2">
        <v>242</v>
      </c>
      <c r="E20" s="3" t="s">
        <v>15</v>
      </c>
      <c r="F20" s="3" t="s">
        <v>52</v>
      </c>
      <c r="G20" s="3" t="s">
        <v>53</v>
      </c>
      <c r="H20" s="2"/>
      <c r="I20" s="4"/>
      <c r="J20" s="4"/>
      <c r="K20" s="4"/>
      <c r="L20" s="5"/>
      <c r="M20" s="3"/>
    </row>
    <row r="21" spans="1:13" x14ac:dyDescent="0.3">
      <c r="A21" s="2">
        <v>20</v>
      </c>
      <c r="B21" s="2" t="s">
        <v>13</v>
      </c>
      <c r="C21" s="2" t="s">
        <v>14</v>
      </c>
      <c r="D21" s="2">
        <v>254</v>
      </c>
      <c r="E21" s="3" t="s">
        <v>15</v>
      </c>
      <c r="F21" s="3" t="s">
        <v>54</v>
      </c>
      <c r="G21" s="3" t="s">
        <v>55</v>
      </c>
      <c r="H21" s="2"/>
      <c r="I21" s="4"/>
      <c r="J21" s="4"/>
      <c r="K21" s="4"/>
      <c r="L21" s="5"/>
      <c r="M21" s="3"/>
    </row>
    <row r="22" spans="1:13" x14ac:dyDescent="0.3">
      <c r="A22" s="2">
        <v>21</v>
      </c>
      <c r="B22" s="2" t="s">
        <v>13</v>
      </c>
      <c r="C22" s="2" t="s">
        <v>14</v>
      </c>
      <c r="D22" s="2">
        <v>266</v>
      </c>
      <c r="E22" s="3" t="s">
        <v>15</v>
      </c>
      <c r="F22" s="3" t="s">
        <v>56</v>
      </c>
      <c r="G22" s="3" t="s">
        <v>57</v>
      </c>
      <c r="H22" s="2"/>
      <c r="I22" s="4"/>
      <c r="J22" s="4"/>
      <c r="K22" s="4"/>
      <c r="L22" s="5"/>
      <c r="M22" s="3"/>
    </row>
    <row r="23" spans="1:13" x14ac:dyDescent="0.3">
      <c r="A23" s="2">
        <v>22</v>
      </c>
      <c r="B23" s="2" t="s">
        <v>13</v>
      </c>
      <c r="C23" s="2" t="s">
        <v>14</v>
      </c>
      <c r="D23" s="2">
        <v>279</v>
      </c>
      <c r="E23" s="3" t="s">
        <v>15</v>
      </c>
      <c r="F23" s="3" t="s">
        <v>58</v>
      </c>
      <c r="G23" s="3" t="s">
        <v>59</v>
      </c>
      <c r="H23" s="2"/>
      <c r="I23" s="4"/>
      <c r="J23" s="4"/>
      <c r="K23" s="4"/>
      <c r="L23" s="5"/>
      <c r="M23" s="3"/>
    </row>
    <row r="24" spans="1:13" x14ac:dyDescent="0.3">
      <c r="A24" s="2">
        <v>23</v>
      </c>
      <c r="B24" s="2" t="s">
        <v>13</v>
      </c>
      <c r="C24" s="2" t="s">
        <v>14</v>
      </c>
      <c r="D24" s="2">
        <v>291</v>
      </c>
      <c r="E24" s="3" t="s">
        <v>15</v>
      </c>
      <c r="F24" s="3" t="s">
        <v>60</v>
      </c>
      <c r="G24" s="3" t="s">
        <v>61</v>
      </c>
      <c r="H24" s="2"/>
      <c r="I24" s="4"/>
      <c r="J24" s="4"/>
      <c r="K24" s="4"/>
      <c r="L24" s="5"/>
      <c r="M24" s="3"/>
    </row>
    <row r="25" spans="1:13" x14ac:dyDescent="0.3">
      <c r="A25" s="2">
        <v>24</v>
      </c>
      <c r="B25" s="2" t="s">
        <v>13</v>
      </c>
      <c r="C25" s="2" t="s">
        <v>14</v>
      </c>
      <c r="D25" s="2">
        <v>303</v>
      </c>
      <c r="E25" s="3" t="s">
        <v>15</v>
      </c>
      <c r="F25" s="3" t="s">
        <v>62</v>
      </c>
      <c r="G25" s="3" t="s">
        <v>63</v>
      </c>
      <c r="H25" s="2"/>
      <c r="I25" s="4"/>
      <c r="J25" s="4"/>
      <c r="K25" s="4"/>
      <c r="L25" s="5"/>
      <c r="M25" s="3"/>
    </row>
    <row r="26" spans="1:13" x14ac:dyDescent="0.3">
      <c r="A26" s="2">
        <v>25</v>
      </c>
      <c r="B26" s="2" t="s">
        <v>13</v>
      </c>
      <c r="C26" s="2" t="s">
        <v>14</v>
      </c>
      <c r="D26" s="2">
        <v>315</v>
      </c>
      <c r="E26" s="3" t="s">
        <v>15</v>
      </c>
      <c r="F26" s="3" t="s">
        <v>64</v>
      </c>
      <c r="G26" s="3" t="s">
        <v>65</v>
      </c>
      <c r="H26" s="2"/>
      <c r="I26" s="4"/>
      <c r="J26" s="4"/>
      <c r="K26" s="4"/>
      <c r="L26" s="5"/>
      <c r="M26" s="3"/>
    </row>
    <row r="27" spans="1:13" x14ac:dyDescent="0.3">
      <c r="A27" s="2">
        <v>26</v>
      </c>
      <c r="B27" s="2" t="s">
        <v>13</v>
      </c>
      <c r="C27" s="2" t="s">
        <v>14</v>
      </c>
      <c r="D27" s="2">
        <v>327</v>
      </c>
      <c r="E27" s="3" t="s">
        <v>15</v>
      </c>
      <c r="F27" s="3" t="s">
        <v>66</v>
      </c>
      <c r="G27" s="3" t="s">
        <v>67</v>
      </c>
      <c r="H27" s="2"/>
      <c r="I27" s="4"/>
      <c r="J27" s="4"/>
      <c r="K27" s="4"/>
      <c r="L27" s="5"/>
      <c r="M27" s="3"/>
    </row>
    <row r="28" spans="1:13" x14ac:dyDescent="0.3">
      <c r="A28" s="2">
        <v>27</v>
      </c>
      <c r="B28" s="2" t="s">
        <v>13</v>
      </c>
      <c r="C28" s="2" t="s">
        <v>68</v>
      </c>
      <c r="D28" s="2">
        <v>19</v>
      </c>
      <c r="E28" s="3" t="s">
        <v>69</v>
      </c>
      <c r="F28" s="3" t="s">
        <v>16</v>
      </c>
      <c r="G28" s="3" t="s">
        <v>70</v>
      </c>
      <c r="H28" s="2"/>
      <c r="I28" s="4"/>
      <c r="J28" s="4"/>
      <c r="K28" s="4"/>
      <c r="L28" s="5"/>
      <c r="M28" s="3"/>
    </row>
    <row r="29" spans="1:13" x14ac:dyDescent="0.3">
      <c r="A29" s="2">
        <v>28</v>
      </c>
      <c r="B29" s="2" t="s">
        <v>13</v>
      </c>
      <c r="C29" s="2" t="s">
        <v>71</v>
      </c>
      <c r="D29" s="2">
        <v>19</v>
      </c>
      <c r="E29" s="3" t="s">
        <v>72</v>
      </c>
      <c r="F29" s="3" t="s">
        <v>16</v>
      </c>
      <c r="G29" s="3" t="s">
        <v>73</v>
      </c>
      <c r="H29" s="2"/>
      <c r="I29" s="4"/>
      <c r="J29" s="4"/>
      <c r="K29" s="4"/>
      <c r="L29" s="5"/>
      <c r="M29" s="3"/>
    </row>
    <row r="30" spans="1:13" x14ac:dyDescent="0.3">
      <c r="A30" s="2">
        <v>29</v>
      </c>
      <c r="B30" s="2" t="s">
        <v>13</v>
      </c>
      <c r="C30" s="2" t="s">
        <v>71</v>
      </c>
      <c r="D30" s="2">
        <v>28</v>
      </c>
      <c r="E30" s="3" t="s">
        <v>72</v>
      </c>
      <c r="F30" s="3" t="s">
        <v>18</v>
      </c>
      <c r="G30" s="3" t="s">
        <v>74</v>
      </c>
      <c r="H30" s="2"/>
      <c r="I30" s="4"/>
      <c r="J30" s="4"/>
      <c r="K30" s="4"/>
      <c r="L30" s="5"/>
      <c r="M30" s="3"/>
    </row>
    <row r="31" spans="1:13" x14ac:dyDescent="0.3">
      <c r="A31" s="2">
        <v>30</v>
      </c>
      <c r="B31" s="2" t="s">
        <v>13</v>
      </c>
      <c r="C31" s="2" t="s">
        <v>71</v>
      </c>
      <c r="D31" s="2">
        <v>37</v>
      </c>
      <c r="E31" s="3" t="s">
        <v>72</v>
      </c>
      <c r="F31" s="3" t="s">
        <v>20</v>
      </c>
      <c r="G31" s="3" t="s">
        <v>75</v>
      </c>
      <c r="H31" s="2"/>
      <c r="I31" s="4"/>
      <c r="J31" s="4"/>
      <c r="K31" s="4"/>
      <c r="L31" s="5"/>
      <c r="M31" s="3"/>
    </row>
    <row r="32" spans="1:13" x14ac:dyDescent="0.3">
      <c r="A32" s="2">
        <v>31</v>
      </c>
      <c r="B32" s="2" t="s">
        <v>13</v>
      </c>
      <c r="C32" s="2" t="s">
        <v>71</v>
      </c>
      <c r="D32" s="2">
        <v>46</v>
      </c>
      <c r="E32" s="3" t="s">
        <v>72</v>
      </c>
      <c r="F32" s="3" t="s">
        <v>22</v>
      </c>
      <c r="G32" s="3" t="s">
        <v>76</v>
      </c>
      <c r="H32" s="2"/>
      <c r="I32" s="4"/>
      <c r="J32" s="4"/>
      <c r="K32" s="4"/>
      <c r="L32" s="5"/>
      <c r="M32" s="3"/>
    </row>
    <row r="33" spans="1:13" x14ac:dyDescent="0.3">
      <c r="A33" s="2">
        <v>32</v>
      </c>
      <c r="B33" s="2" t="s">
        <v>77</v>
      </c>
      <c r="C33" s="2" t="s">
        <v>78</v>
      </c>
      <c r="D33" s="2">
        <v>9</v>
      </c>
      <c r="E33" s="3"/>
      <c r="F33" s="3"/>
      <c r="G33" s="3" t="s">
        <v>79</v>
      </c>
      <c r="H33" s="2"/>
      <c r="I33" s="4"/>
      <c r="J33" s="4"/>
      <c r="K33" s="4"/>
      <c r="L33" s="5"/>
      <c r="M33" s="3"/>
    </row>
    <row r="34" spans="1:13" ht="43.2" x14ac:dyDescent="0.3">
      <c r="A34" s="2">
        <v>33</v>
      </c>
      <c r="B34" s="2" t="s">
        <v>80</v>
      </c>
      <c r="C34" s="2" t="s">
        <v>81</v>
      </c>
      <c r="D34" s="2">
        <v>51</v>
      </c>
      <c r="E34" s="3" t="s">
        <v>82</v>
      </c>
      <c r="F34" s="3" t="s">
        <v>83</v>
      </c>
      <c r="G34" s="3" t="s">
        <v>84</v>
      </c>
      <c r="H34" s="2" t="s">
        <v>85</v>
      </c>
      <c r="I34" s="4"/>
      <c r="J34" s="4"/>
      <c r="K34" s="4"/>
      <c r="L34" s="5"/>
      <c r="M34" s="3"/>
    </row>
    <row r="35" spans="1:13" x14ac:dyDescent="0.3">
      <c r="A35" s="2">
        <v>34</v>
      </c>
      <c r="B35" s="2" t="s">
        <v>80</v>
      </c>
      <c r="C35" s="2" t="s">
        <v>81</v>
      </c>
      <c r="D35" s="2">
        <v>79</v>
      </c>
      <c r="E35" s="3" t="s">
        <v>82</v>
      </c>
      <c r="F35" s="3" t="s">
        <v>86</v>
      </c>
      <c r="G35" s="3" t="s">
        <v>87</v>
      </c>
      <c r="H35" s="2" t="s">
        <v>85</v>
      </c>
      <c r="I35" s="4"/>
      <c r="J35" s="4"/>
      <c r="K35" s="4"/>
      <c r="L35" s="5"/>
      <c r="M35" s="3"/>
    </row>
    <row r="36" spans="1:13" ht="28.8" x14ac:dyDescent="0.3">
      <c r="A36" s="2">
        <v>35</v>
      </c>
      <c r="B36" s="2" t="s">
        <v>80</v>
      </c>
      <c r="C36" s="2" t="s">
        <v>81</v>
      </c>
      <c r="D36" s="2">
        <v>93</v>
      </c>
      <c r="E36" s="3" t="s">
        <v>82</v>
      </c>
      <c r="F36" s="3" t="s">
        <v>88</v>
      </c>
      <c r="G36" s="3" t="s">
        <v>89</v>
      </c>
      <c r="H36" s="2" t="s">
        <v>85</v>
      </c>
      <c r="I36" s="4"/>
      <c r="J36" s="4"/>
      <c r="K36" s="4"/>
      <c r="L36" s="5"/>
      <c r="M36" s="3"/>
    </row>
    <row r="37" spans="1:13" ht="28.8" x14ac:dyDescent="0.3">
      <c r="A37" s="2">
        <v>36</v>
      </c>
      <c r="B37" s="2" t="s">
        <v>80</v>
      </c>
      <c r="C37" s="2" t="s">
        <v>81</v>
      </c>
      <c r="D37" s="2">
        <v>105</v>
      </c>
      <c r="E37" s="3" t="s">
        <v>82</v>
      </c>
      <c r="F37" s="3" t="s">
        <v>90</v>
      </c>
      <c r="G37" s="3" t="s">
        <v>91</v>
      </c>
      <c r="H37" s="2" t="s">
        <v>85</v>
      </c>
      <c r="I37" s="4"/>
      <c r="J37" s="4"/>
      <c r="K37" s="4"/>
      <c r="L37" s="5"/>
      <c r="M37" s="3"/>
    </row>
    <row r="38" spans="1:13" ht="43.2" x14ac:dyDescent="0.3">
      <c r="A38" s="2">
        <v>37</v>
      </c>
      <c r="B38" s="2" t="s">
        <v>80</v>
      </c>
      <c r="C38" s="2" t="s">
        <v>81</v>
      </c>
      <c r="D38" s="2">
        <v>117</v>
      </c>
      <c r="E38" s="3" t="s">
        <v>82</v>
      </c>
      <c r="F38" s="3" t="s">
        <v>92</v>
      </c>
      <c r="G38" s="3" t="s">
        <v>93</v>
      </c>
      <c r="H38" s="2" t="s">
        <v>85</v>
      </c>
      <c r="I38" s="4"/>
      <c r="J38" s="4"/>
      <c r="K38" s="4"/>
      <c r="L38" s="5"/>
      <c r="M38" s="3"/>
    </row>
    <row r="39" spans="1:13" ht="28.8" x14ac:dyDescent="0.3">
      <c r="A39" s="2">
        <v>38</v>
      </c>
      <c r="B39" s="2" t="s">
        <v>80</v>
      </c>
      <c r="C39" s="2" t="s">
        <v>81</v>
      </c>
      <c r="D39" s="2">
        <v>127</v>
      </c>
      <c r="E39" s="3" t="s">
        <v>82</v>
      </c>
      <c r="F39" s="3" t="s">
        <v>94</v>
      </c>
      <c r="G39" s="3" t="s">
        <v>95</v>
      </c>
      <c r="H39" s="2" t="s">
        <v>85</v>
      </c>
      <c r="I39" s="4"/>
      <c r="J39" s="4"/>
      <c r="K39" s="4"/>
      <c r="L39" s="5"/>
      <c r="M39" s="3"/>
    </row>
    <row r="40" spans="1:13" ht="28.8" x14ac:dyDescent="0.3">
      <c r="A40" s="2">
        <v>39</v>
      </c>
      <c r="B40" s="2" t="s">
        <v>80</v>
      </c>
      <c r="C40" s="2" t="s">
        <v>81</v>
      </c>
      <c r="D40" s="2">
        <v>137</v>
      </c>
      <c r="E40" s="3" t="s">
        <v>82</v>
      </c>
      <c r="F40" s="3" t="s">
        <v>96</v>
      </c>
      <c r="G40" s="3" t="s">
        <v>97</v>
      </c>
      <c r="H40" s="2" t="s">
        <v>85</v>
      </c>
      <c r="I40" s="4"/>
      <c r="J40" s="4"/>
      <c r="K40" s="4"/>
      <c r="L40" s="5"/>
      <c r="M40" s="3"/>
    </row>
    <row r="41" spans="1:13" ht="28.8" x14ac:dyDescent="0.3">
      <c r="A41" s="2">
        <v>40</v>
      </c>
      <c r="B41" s="2" t="s">
        <v>80</v>
      </c>
      <c r="C41" s="2" t="s">
        <v>81</v>
      </c>
      <c r="D41" s="2">
        <v>144</v>
      </c>
      <c r="E41" s="3" t="s">
        <v>82</v>
      </c>
      <c r="F41" s="3" t="s">
        <v>98</v>
      </c>
      <c r="G41" s="3" t="s">
        <v>99</v>
      </c>
      <c r="H41" s="2" t="s">
        <v>85</v>
      </c>
      <c r="I41" s="4"/>
      <c r="J41" s="4"/>
      <c r="K41" s="4"/>
      <c r="L41" s="5"/>
      <c r="M41" s="3"/>
    </row>
    <row r="42" spans="1:13" ht="28.8" x14ac:dyDescent="0.3">
      <c r="A42" s="2">
        <v>41</v>
      </c>
      <c r="B42" s="2" t="s">
        <v>80</v>
      </c>
      <c r="C42" s="2" t="s">
        <v>81</v>
      </c>
      <c r="D42" s="2">
        <v>160</v>
      </c>
      <c r="E42" s="3" t="s">
        <v>82</v>
      </c>
      <c r="F42" s="3" t="s">
        <v>100</v>
      </c>
      <c r="G42" s="3" t="s">
        <v>101</v>
      </c>
      <c r="H42" s="2" t="s">
        <v>85</v>
      </c>
      <c r="I42" s="4"/>
      <c r="J42" s="4"/>
      <c r="K42" s="4"/>
      <c r="L42" s="5"/>
      <c r="M42" s="3"/>
    </row>
    <row r="43" spans="1:13" ht="28.8" x14ac:dyDescent="0.3">
      <c r="A43" s="2">
        <v>42</v>
      </c>
      <c r="B43" s="2" t="s">
        <v>80</v>
      </c>
      <c r="C43" s="2" t="s">
        <v>81</v>
      </c>
      <c r="D43" s="2">
        <v>169</v>
      </c>
      <c r="E43" s="3" t="s">
        <v>82</v>
      </c>
      <c r="F43" s="3" t="s">
        <v>102</v>
      </c>
      <c r="G43" s="3" t="s">
        <v>103</v>
      </c>
      <c r="H43" s="2" t="s">
        <v>85</v>
      </c>
      <c r="I43" s="4"/>
      <c r="J43" s="4"/>
      <c r="K43" s="4"/>
      <c r="L43" s="5"/>
      <c r="M43" s="3"/>
    </row>
    <row r="44" spans="1:13" ht="28.8" x14ac:dyDescent="0.3">
      <c r="A44" s="2">
        <v>43</v>
      </c>
      <c r="B44" s="2" t="s">
        <v>80</v>
      </c>
      <c r="C44" s="2" t="s">
        <v>81</v>
      </c>
      <c r="D44" s="2">
        <v>181</v>
      </c>
      <c r="E44" s="3" t="s">
        <v>82</v>
      </c>
      <c r="F44" s="3" t="s">
        <v>104</v>
      </c>
      <c r="G44" s="3" t="s">
        <v>105</v>
      </c>
      <c r="H44" s="2" t="s">
        <v>85</v>
      </c>
      <c r="I44" s="4"/>
      <c r="J44" s="4"/>
      <c r="K44" s="4"/>
      <c r="L44" s="5"/>
      <c r="M44" s="3"/>
    </row>
    <row r="45" spans="1:13" x14ac:dyDescent="0.3">
      <c r="A45" s="2">
        <v>44</v>
      </c>
      <c r="B45" s="2" t="s">
        <v>80</v>
      </c>
      <c r="C45" s="2" t="s">
        <v>81</v>
      </c>
      <c r="D45" s="2">
        <v>190</v>
      </c>
      <c r="E45" s="3" t="s">
        <v>82</v>
      </c>
      <c r="F45" s="3" t="s">
        <v>106</v>
      </c>
      <c r="G45" s="3" t="s">
        <v>107</v>
      </c>
      <c r="H45" s="2" t="s">
        <v>85</v>
      </c>
      <c r="I45" s="4"/>
      <c r="J45" s="4"/>
      <c r="K45" s="4"/>
      <c r="L45" s="5"/>
      <c r="M45" s="3"/>
    </row>
    <row r="46" spans="1:13" x14ac:dyDescent="0.3">
      <c r="A46" s="2">
        <v>45</v>
      </c>
      <c r="B46" s="2" t="s">
        <v>80</v>
      </c>
      <c r="C46" s="2" t="s">
        <v>81</v>
      </c>
      <c r="D46" s="2">
        <v>202</v>
      </c>
      <c r="E46" s="3" t="s">
        <v>82</v>
      </c>
      <c r="F46" s="3" t="s">
        <v>108</v>
      </c>
      <c r="G46" s="3" t="s">
        <v>109</v>
      </c>
      <c r="H46" s="2" t="s">
        <v>85</v>
      </c>
      <c r="I46" s="4"/>
      <c r="J46" s="4"/>
      <c r="K46" s="4"/>
      <c r="L46" s="5"/>
      <c r="M46" s="3"/>
    </row>
    <row r="47" spans="1:13" x14ac:dyDescent="0.3">
      <c r="A47" s="2">
        <v>46</v>
      </c>
      <c r="B47" s="2" t="s">
        <v>80</v>
      </c>
      <c r="C47" s="2" t="s">
        <v>81</v>
      </c>
      <c r="D47" s="2">
        <v>211</v>
      </c>
      <c r="E47" s="3" t="s">
        <v>82</v>
      </c>
      <c r="F47" s="3" t="s">
        <v>110</v>
      </c>
      <c r="G47" s="3" t="s">
        <v>111</v>
      </c>
      <c r="H47" s="2" t="s">
        <v>85</v>
      </c>
      <c r="I47" s="4"/>
      <c r="J47" s="4"/>
      <c r="K47" s="4"/>
      <c r="L47" s="5"/>
      <c r="M47" s="3"/>
    </row>
    <row r="48" spans="1:13" ht="28.8" x14ac:dyDescent="0.3">
      <c r="A48" s="2">
        <v>47</v>
      </c>
      <c r="B48" s="2" t="s">
        <v>80</v>
      </c>
      <c r="C48" s="2" t="s">
        <v>81</v>
      </c>
      <c r="D48" s="2">
        <v>222</v>
      </c>
      <c r="E48" s="3" t="s">
        <v>82</v>
      </c>
      <c r="F48" s="3" t="s">
        <v>112</v>
      </c>
      <c r="G48" s="3" t="s">
        <v>113</v>
      </c>
      <c r="H48" s="2" t="s">
        <v>85</v>
      </c>
      <c r="I48" s="4"/>
      <c r="J48" s="4"/>
      <c r="K48" s="4"/>
      <c r="L48" s="5"/>
      <c r="M48" s="3"/>
    </row>
    <row r="49" spans="1:13" ht="28.8" x14ac:dyDescent="0.3">
      <c r="A49" s="2">
        <v>48</v>
      </c>
      <c r="B49" s="2" t="s">
        <v>80</v>
      </c>
      <c r="C49" s="2" t="s">
        <v>81</v>
      </c>
      <c r="D49" s="2">
        <v>236</v>
      </c>
      <c r="E49" s="3" t="s">
        <v>82</v>
      </c>
      <c r="F49" s="3" t="s">
        <v>114</v>
      </c>
      <c r="G49" s="3" t="s">
        <v>115</v>
      </c>
      <c r="H49" s="2" t="s">
        <v>85</v>
      </c>
      <c r="I49" s="4"/>
      <c r="J49" s="4"/>
      <c r="K49" s="4"/>
      <c r="L49" s="5"/>
      <c r="M49" s="3"/>
    </row>
    <row r="50" spans="1:13" ht="28.8" x14ac:dyDescent="0.3">
      <c r="A50" s="2">
        <v>49</v>
      </c>
      <c r="B50" s="2" t="s">
        <v>80</v>
      </c>
      <c r="C50" s="2" t="s">
        <v>81</v>
      </c>
      <c r="D50" s="2">
        <v>253</v>
      </c>
      <c r="E50" s="3" t="s">
        <v>82</v>
      </c>
      <c r="F50" s="3" t="s">
        <v>116</v>
      </c>
      <c r="G50" s="3" t="s">
        <v>117</v>
      </c>
      <c r="H50" s="2" t="s">
        <v>85</v>
      </c>
      <c r="I50" s="4"/>
      <c r="J50" s="4"/>
      <c r="K50" s="4"/>
      <c r="L50" s="5"/>
      <c r="M50" s="3"/>
    </row>
    <row r="51" spans="1:13" ht="28.8" x14ac:dyDescent="0.3">
      <c r="A51" s="2">
        <v>50</v>
      </c>
      <c r="B51" s="2" t="s">
        <v>80</v>
      </c>
      <c r="C51" s="2" t="s">
        <v>81</v>
      </c>
      <c r="D51" s="2">
        <v>265</v>
      </c>
      <c r="E51" s="3" t="s">
        <v>82</v>
      </c>
      <c r="F51" s="3" t="s">
        <v>118</v>
      </c>
      <c r="G51" s="3" t="s">
        <v>119</v>
      </c>
      <c r="H51" s="2" t="s">
        <v>85</v>
      </c>
      <c r="I51" s="4"/>
      <c r="J51" s="4"/>
      <c r="K51" s="4"/>
      <c r="L51" s="5"/>
      <c r="M51" s="3"/>
    </row>
    <row r="52" spans="1:13" ht="28.8" x14ac:dyDescent="0.3">
      <c r="A52" s="2">
        <v>51</v>
      </c>
      <c r="B52" s="2" t="s">
        <v>80</v>
      </c>
      <c r="C52" s="2" t="s">
        <v>81</v>
      </c>
      <c r="D52" s="2">
        <v>290</v>
      </c>
      <c r="E52" s="3" t="s">
        <v>82</v>
      </c>
      <c r="F52" s="3" t="s">
        <v>120</v>
      </c>
      <c r="G52" s="3" t="s">
        <v>121</v>
      </c>
      <c r="H52" s="2" t="s">
        <v>85</v>
      </c>
      <c r="I52" s="4"/>
      <c r="J52" s="4"/>
      <c r="K52" s="4"/>
      <c r="L52" s="5"/>
      <c r="M52" s="3"/>
    </row>
    <row r="53" spans="1:13" ht="28.8" x14ac:dyDescent="0.3">
      <c r="A53" s="2">
        <v>52</v>
      </c>
      <c r="B53" s="2" t="s">
        <v>80</v>
      </c>
      <c r="C53" s="2" t="s">
        <v>81</v>
      </c>
      <c r="D53" s="2">
        <v>308</v>
      </c>
      <c r="E53" s="3" t="s">
        <v>82</v>
      </c>
      <c r="F53" s="3" t="s">
        <v>122</v>
      </c>
      <c r="G53" s="3" t="s">
        <v>123</v>
      </c>
      <c r="H53" s="2" t="s">
        <v>85</v>
      </c>
      <c r="I53" s="4"/>
      <c r="J53" s="4"/>
      <c r="K53" s="4"/>
      <c r="L53" s="5"/>
      <c r="M53" s="3"/>
    </row>
    <row r="54" spans="1:13" ht="28.8" x14ac:dyDescent="0.3">
      <c r="A54" s="2">
        <v>53</v>
      </c>
      <c r="B54" s="2" t="s">
        <v>80</v>
      </c>
      <c r="C54" s="2" t="s">
        <v>81</v>
      </c>
      <c r="D54" s="2">
        <v>317</v>
      </c>
      <c r="E54" s="3" t="s">
        <v>82</v>
      </c>
      <c r="F54" s="3" t="s">
        <v>124</v>
      </c>
      <c r="G54" s="3" t="s">
        <v>125</v>
      </c>
      <c r="H54" s="2" t="s">
        <v>85</v>
      </c>
      <c r="I54" s="4"/>
      <c r="J54" s="4"/>
      <c r="K54" s="4"/>
      <c r="L54" s="5"/>
      <c r="M54" s="3"/>
    </row>
    <row r="55" spans="1:13" x14ac:dyDescent="0.3">
      <c r="A55" s="2">
        <v>54</v>
      </c>
      <c r="B55" s="2" t="s">
        <v>80</v>
      </c>
      <c r="C55" s="2" t="s">
        <v>81</v>
      </c>
      <c r="D55" s="2">
        <v>325</v>
      </c>
      <c r="E55" s="3" t="s">
        <v>82</v>
      </c>
      <c r="F55" s="3" t="s">
        <v>126</v>
      </c>
      <c r="G55" s="3" t="s">
        <v>127</v>
      </c>
      <c r="H55" s="2" t="s">
        <v>85</v>
      </c>
      <c r="I55" s="4"/>
      <c r="J55" s="4"/>
      <c r="K55" s="4"/>
      <c r="L55" s="5"/>
      <c r="M55" s="3"/>
    </row>
    <row r="56" spans="1:13" ht="28.8" x14ac:dyDescent="0.3">
      <c r="A56" s="2">
        <v>55</v>
      </c>
      <c r="B56" s="2" t="s">
        <v>80</v>
      </c>
      <c r="C56" s="2" t="s">
        <v>81</v>
      </c>
      <c r="D56" s="2">
        <v>346</v>
      </c>
      <c r="E56" s="3" t="s">
        <v>82</v>
      </c>
      <c r="F56" s="3" t="s">
        <v>128</v>
      </c>
      <c r="G56" s="3" t="s">
        <v>129</v>
      </c>
      <c r="H56" s="2"/>
      <c r="I56" s="4"/>
      <c r="J56" s="4"/>
      <c r="K56" s="4"/>
      <c r="L56" s="5"/>
      <c r="M56" s="3"/>
    </row>
    <row r="57" spans="1:13" x14ac:dyDescent="0.3">
      <c r="A57" s="2">
        <v>56</v>
      </c>
      <c r="B57" s="2" t="s">
        <v>80</v>
      </c>
      <c r="C57" s="2" t="s">
        <v>81</v>
      </c>
      <c r="D57" s="2">
        <v>346</v>
      </c>
      <c r="E57" s="3" t="s">
        <v>82</v>
      </c>
      <c r="F57" s="3" t="s">
        <v>130</v>
      </c>
      <c r="G57" s="3" t="s">
        <v>131</v>
      </c>
      <c r="H57" s="2"/>
      <c r="I57" s="4"/>
      <c r="J57" s="4"/>
      <c r="K57" s="4"/>
      <c r="L57" s="5"/>
      <c r="M57" s="3"/>
    </row>
    <row r="58" spans="1:13" ht="28.8" x14ac:dyDescent="0.3">
      <c r="A58" s="2">
        <v>57</v>
      </c>
      <c r="B58" s="2" t="s">
        <v>80</v>
      </c>
      <c r="C58" s="2" t="s">
        <v>81</v>
      </c>
      <c r="D58" s="2">
        <v>346</v>
      </c>
      <c r="E58" s="3" t="s">
        <v>82</v>
      </c>
      <c r="F58" s="3" t="s">
        <v>132</v>
      </c>
      <c r="G58" s="3" t="s">
        <v>133</v>
      </c>
      <c r="H58" s="2"/>
      <c r="I58" s="4"/>
      <c r="J58" s="4"/>
      <c r="K58" s="4"/>
      <c r="L58" s="5"/>
      <c r="M58" s="3"/>
    </row>
    <row r="59" spans="1:13" x14ac:dyDescent="0.3">
      <c r="A59" s="2">
        <v>58</v>
      </c>
      <c r="B59" s="2" t="s">
        <v>80</v>
      </c>
      <c r="C59" s="2" t="s">
        <v>81</v>
      </c>
      <c r="D59" s="2">
        <v>346</v>
      </c>
      <c r="E59" s="3" t="s">
        <v>82</v>
      </c>
      <c r="F59" s="3" t="s">
        <v>134</v>
      </c>
      <c r="G59" s="3" t="s">
        <v>135</v>
      </c>
      <c r="H59" s="2"/>
      <c r="I59" s="4"/>
      <c r="J59" s="4"/>
      <c r="K59" s="4"/>
      <c r="L59" s="5"/>
      <c r="M59" s="3"/>
    </row>
    <row r="60" spans="1:13" ht="28.8" x14ac:dyDescent="0.3">
      <c r="A60" s="2">
        <v>59</v>
      </c>
      <c r="B60" s="2" t="s">
        <v>80</v>
      </c>
      <c r="C60" s="2" t="s">
        <v>81</v>
      </c>
      <c r="D60" s="2">
        <v>346</v>
      </c>
      <c r="E60" s="3" t="s">
        <v>82</v>
      </c>
      <c r="F60" s="3" t="s">
        <v>136</v>
      </c>
      <c r="G60" s="3" t="s">
        <v>137</v>
      </c>
      <c r="H60" s="2"/>
      <c r="I60" s="4"/>
      <c r="J60" s="4"/>
      <c r="K60" s="4"/>
      <c r="L60" s="5"/>
      <c r="M60" s="3"/>
    </row>
    <row r="61" spans="1:13" ht="28.8" x14ac:dyDescent="0.3">
      <c r="A61" s="2">
        <v>60</v>
      </c>
      <c r="B61" s="2" t="s">
        <v>80</v>
      </c>
      <c r="C61" s="2" t="s">
        <v>81</v>
      </c>
      <c r="D61" s="2">
        <v>346</v>
      </c>
      <c r="E61" s="3" t="s">
        <v>82</v>
      </c>
      <c r="F61" s="3" t="s">
        <v>138</v>
      </c>
      <c r="G61" s="3" t="s">
        <v>139</v>
      </c>
      <c r="H61" s="2"/>
      <c r="I61" s="4"/>
      <c r="J61" s="4"/>
      <c r="K61" s="4"/>
      <c r="L61" s="5"/>
      <c r="M61" s="3"/>
    </row>
    <row r="62" spans="1:13" x14ac:dyDescent="0.3">
      <c r="A62" s="2">
        <v>61</v>
      </c>
      <c r="B62" s="2" t="s">
        <v>80</v>
      </c>
      <c r="C62" s="2" t="s">
        <v>81</v>
      </c>
      <c r="D62" s="2">
        <v>346</v>
      </c>
      <c r="E62" s="3" t="s">
        <v>82</v>
      </c>
      <c r="F62" s="3" t="s">
        <v>140</v>
      </c>
      <c r="G62" s="3" t="s">
        <v>141</v>
      </c>
      <c r="H62" s="2"/>
      <c r="I62" s="4"/>
      <c r="J62" s="4"/>
      <c r="K62" s="4"/>
      <c r="L62" s="5"/>
      <c r="M62" s="3"/>
    </row>
    <row r="63" spans="1:13" ht="28.8" x14ac:dyDescent="0.3">
      <c r="A63" s="2">
        <v>62</v>
      </c>
      <c r="B63" s="2" t="s">
        <v>80</v>
      </c>
      <c r="C63" s="2" t="s">
        <v>81</v>
      </c>
      <c r="D63" s="2">
        <v>346</v>
      </c>
      <c r="E63" s="3" t="s">
        <v>82</v>
      </c>
      <c r="F63" s="3" t="s">
        <v>142</v>
      </c>
      <c r="G63" s="3" t="s">
        <v>143</v>
      </c>
      <c r="H63" s="2"/>
      <c r="I63" s="4"/>
      <c r="J63" s="4"/>
      <c r="K63" s="4"/>
      <c r="L63" s="5"/>
      <c r="M63" s="3"/>
    </row>
    <row r="64" spans="1:13" ht="43.2" x14ac:dyDescent="0.3">
      <c r="A64" s="2">
        <v>63</v>
      </c>
      <c r="B64" s="2" t="s">
        <v>80</v>
      </c>
      <c r="C64" s="2" t="s">
        <v>144</v>
      </c>
      <c r="D64" s="2">
        <v>43</v>
      </c>
      <c r="E64" s="3" t="s">
        <v>145</v>
      </c>
      <c r="F64" s="3" t="s">
        <v>146</v>
      </c>
      <c r="G64" s="3" t="s">
        <v>147</v>
      </c>
      <c r="H64" s="2" t="s">
        <v>148</v>
      </c>
      <c r="I64" s="4"/>
      <c r="J64" s="4"/>
      <c r="K64" s="4"/>
      <c r="L64" s="5"/>
      <c r="M64" s="3"/>
    </row>
    <row r="65" spans="1:13" x14ac:dyDescent="0.3">
      <c r="A65" s="2">
        <v>64</v>
      </c>
      <c r="B65" s="2" t="s">
        <v>80</v>
      </c>
      <c r="C65" s="2" t="s">
        <v>144</v>
      </c>
      <c r="D65" s="2">
        <v>60</v>
      </c>
      <c r="E65" s="3" t="s">
        <v>145</v>
      </c>
      <c r="F65" s="3" t="s">
        <v>149</v>
      </c>
      <c r="G65" s="3" t="s">
        <v>150</v>
      </c>
      <c r="H65" s="2" t="s">
        <v>148</v>
      </c>
      <c r="I65" s="4"/>
      <c r="J65" s="4"/>
      <c r="K65" s="4"/>
      <c r="L65" s="5"/>
      <c r="M65" s="3"/>
    </row>
    <row r="66" spans="1:13" ht="57.6" x14ac:dyDescent="0.3">
      <c r="A66" s="2">
        <v>65</v>
      </c>
      <c r="B66" s="2" t="s">
        <v>80</v>
      </c>
      <c r="C66" s="2" t="s">
        <v>144</v>
      </c>
      <c r="D66" s="2">
        <v>73</v>
      </c>
      <c r="E66" s="3" t="s">
        <v>145</v>
      </c>
      <c r="F66" s="3" t="s">
        <v>151</v>
      </c>
      <c r="G66" s="3" t="s">
        <v>152</v>
      </c>
      <c r="H66" s="2" t="s">
        <v>148</v>
      </c>
      <c r="I66" s="4"/>
      <c r="J66" s="4"/>
      <c r="K66" s="4"/>
      <c r="L66" s="5"/>
      <c r="M66" s="3"/>
    </row>
    <row r="67" spans="1:13" x14ac:dyDescent="0.3">
      <c r="A67" s="2">
        <v>66</v>
      </c>
      <c r="B67" s="2" t="s">
        <v>80</v>
      </c>
      <c r="C67" s="2" t="s">
        <v>144</v>
      </c>
      <c r="D67" s="2">
        <v>92</v>
      </c>
      <c r="E67" s="3" t="s">
        <v>145</v>
      </c>
      <c r="F67" s="3" t="s">
        <v>153</v>
      </c>
      <c r="G67" s="3" t="s">
        <v>154</v>
      </c>
      <c r="H67" s="2" t="s">
        <v>148</v>
      </c>
      <c r="I67" s="4"/>
      <c r="J67" s="4"/>
      <c r="K67" s="4"/>
      <c r="L67" s="5"/>
      <c r="M67" s="3"/>
    </row>
    <row r="68" spans="1:13" ht="28.8" x14ac:dyDescent="0.3">
      <c r="A68" s="2">
        <v>67</v>
      </c>
      <c r="B68" s="2" t="s">
        <v>80</v>
      </c>
      <c r="C68" s="2" t="s">
        <v>144</v>
      </c>
      <c r="D68" s="2">
        <v>104</v>
      </c>
      <c r="E68" s="3" t="s">
        <v>145</v>
      </c>
      <c r="F68" s="3" t="s">
        <v>155</v>
      </c>
      <c r="G68" s="3" t="s">
        <v>156</v>
      </c>
      <c r="H68" s="2" t="s">
        <v>148</v>
      </c>
      <c r="I68" s="4"/>
      <c r="J68" s="4"/>
      <c r="K68" s="4"/>
      <c r="L68" s="5"/>
      <c r="M68" s="3"/>
    </row>
    <row r="69" spans="1:13" ht="28.8" x14ac:dyDescent="0.3">
      <c r="A69" s="2">
        <v>68</v>
      </c>
      <c r="B69" s="2" t="s">
        <v>80</v>
      </c>
      <c r="C69" s="2" t="s">
        <v>144</v>
      </c>
      <c r="D69" s="2">
        <v>115</v>
      </c>
      <c r="E69" s="3" t="s">
        <v>145</v>
      </c>
      <c r="F69" s="3" t="s">
        <v>157</v>
      </c>
      <c r="G69" s="3" t="s">
        <v>158</v>
      </c>
      <c r="H69" s="2" t="s">
        <v>148</v>
      </c>
      <c r="I69" s="4"/>
      <c r="J69" s="4"/>
      <c r="K69" s="4"/>
      <c r="L69" s="5"/>
      <c r="M69" s="3"/>
    </row>
    <row r="70" spans="1:13" ht="28.8" x14ac:dyDescent="0.3">
      <c r="A70" s="2">
        <v>69</v>
      </c>
      <c r="B70" s="2" t="s">
        <v>80</v>
      </c>
      <c r="C70" s="2" t="s">
        <v>144</v>
      </c>
      <c r="D70" s="2">
        <v>129</v>
      </c>
      <c r="E70" s="3" t="s">
        <v>145</v>
      </c>
      <c r="F70" s="3" t="s">
        <v>159</v>
      </c>
      <c r="G70" s="3" t="s">
        <v>160</v>
      </c>
      <c r="H70" s="2" t="s">
        <v>148</v>
      </c>
      <c r="I70" s="4"/>
      <c r="J70" s="4"/>
      <c r="K70" s="4"/>
      <c r="L70" s="5"/>
      <c r="M70" s="3"/>
    </row>
    <row r="71" spans="1:13" ht="28.8" x14ac:dyDescent="0.3">
      <c r="A71" s="2">
        <v>70</v>
      </c>
      <c r="B71" s="2" t="s">
        <v>80</v>
      </c>
      <c r="C71" s="2" t="s">
        <v>144</v>
      </c>
      <c r="D71" s="2">
        <v>144</v>
      </c>
      <c r="E71" s="3" t="s">
        <v>145</v>
      </c>
      <c r="F71" s="3" t="s">
        <v>161</v>
      </c>
      <c r="G71" s="3" t="s">
        <v>162</v>
      </c>
      <c r="H71" s="2" t="s">
        <v>148</v>
      </c>
      <c r="I71" s="4"/>
      <c r="J71" s="4"/>
      <c r="K71" s="4"/>
      <c r="L71" s="5"/>
      <c r="M71" s="3"/>
    </row>
    <row r="72" spans="1:13" x14ac:dyDescent="0.3">
      <c r="A72" s="2">
        <v>71</v>
      </c>
      <c r="B72" s="2" t="s">
        <v>80</v>
      </c>
      <c r="C72" s="2" t="s">
        <v>144</v>
      </c>
      <c r="D72" s="2">
        <v>156</v>
      </c>
      <c r="E72" s="3" t="s">
        <v>145</v>
      </c>
      <c r="F72" s="3" t="s">
        <v>163</v>
      </c>
      <c r="G72" s="3" t="s">
        <v>164</v>
      </c>
      <c r="H72" s="2" t="s">
        <v>148</v>
      </c>
      <c r="I72" s="4"/>
      <c r="J72" s="4"/>
      <c r="K72" s="4"/>
      <c r="L72" s="5"/>
      <c r="M72" s="3"/>
    </row>
    <row r="73" spans="1:13" ht="28.8" x14ac:dyDescent="0.3">
      <c r="A73" s="2">
        <v>72</v>
      </c>
      <c r="B73" s="2" t="s">
        <v>80</v>
      </c>
      <c r="C73" s="2" t="s">
        <v>144</v>
      </c>
      <c r="D73" s="2">
        <v>162</v>
      </c>
      <c r="E73" s="3" t="s">
        <v>145</v>
      </c>
      <c r="F73" s="3" t="s">
        <v>165</v>
      </c>
      <c r="G73" s="3" t="s">
        <v>166</v>
      </c>
      <c r="H73" s="2" t="s">
        <v>148</v>
      </c>
      <c r="I73" s="4"/>
      <c r="J73" s="4"/>
      <c r="K73" s="4"/>
      <c r="L73" s="5"/>
      <c r="M73" s="3"/>
    </row>
    <row r="74" spans="1:13" ht="28.8" x14ac:dyDescent="0.3">
      <c r="A74" s="2">
        <v>73</v>
      </c>
      <c r="B74" s="2" t="s">
        <v>80</v>
      </c>
      <c r="C74" s="2" t="s">
        <v>144</v>
      </c>
      <c r="D74" s="2">
        <v>173</v>
      </c>
      <c r="E74" s="3" t="s">
        <v>145</v>
      </c>
      <c r="F74" s="3" t="s">
        <v>167</v>
      </c>
      <c r="G74" s="3" t="s">
        <v>168</v>
      </c>
      <c r="H74" s="2" t="s">
        <v>148</v>
      </c>
      <c r="I74" s="4"/>
      <c r="J74" s="4"/>
      <c r="K74" s="4"/>
      <c r="L74" s="5"/>
      <c r="M74" s="3"/>
    </row>
    <row r="75" spans="1:13" x14ac:dyDescent="0.3">
      <c r="A75" s="2">
        <v>74</v>
      </c>
      <c r="B75" s="2" t="s">
        <v>80</v>
      </c>
      <c r="C75" s="2" t="s">
        <v>144</v>
      </c>
      <c r="D75" s="2">
        <v>183</v>
      </c>
      <c r="E75" s="3" t="s">
        <v>145</v>
      </c>
      <c r="F75" s="3" t="s">
        <v>169</v>
      </c>
      <c r="G75" s="3" t="s">
        <v>170</v>
      </c>
      <c r="H75" s="2" t="s">
        <v>148</v>
      </c>
      <c r="I75" s="4"/>
      <c r="J75" s="4"/>
      <c r="K75" s="4"/>
      <c r="L75" s="5"/>
      <c r="M75" s="3"/>
    </row>
    <row r="76" spans="1:13" x14ac:dyDescent="0.3">
      <c r="A76" s="2">
        <v>75</v>
      </c>
      <c r="B76" s="2" t="s">
        <v>80</v>
      </c>
      <c r="C76" s="2" t="s">
        <v>144</v>
      </c>
      <c r="D76" s="2">
        <v>190</v>
      </c>
      <c r="E76" s="3" t="s">
        <v>145</v>
      </c>
      <c r="F76" s="3" t="s">
        <v>171</v>
      </c>
      <c r="G76" s="3" t="s">
        <v>172</v>
      </c>
      <c r="H76" s="2" t="s">
        <v>148</v>
      </c>
      <c r="I76" s="4"/>
      <c r="J76" s="4"/>
      <c r="K76" s="4"/>
      <c r="L76" s="5"/>
      <c r="M76" s="3"/>
    </row>
    <row r="77" spans="1:13" ht="28.8" x14ac:dyDescent="0.3">
      <c r="A77" s="2">
        <v>76</v>
      </c>
      <c r="B77" s="2" t="s">
        <v>80</v>
      </c>
      <c r="C77" s="2" t="s">
        <v>144</v>
      </c>
      <c r="D77" s="2">
        <v>206</v>
      </c>
      <c r="E77" s="3" t="s">
        <v>145</v>
      </c>
      <c r="F77" s="3" t="s">
        <v>173</v>
      </c>
      <c r="G77" s="3" t="s">
        <v>174</v>
      </c>
      <c r="H77" s="2" t="s">
        <v>148</v>
      </c>
      <c r="I77" s="4"/>
      <c r="J77" s="4"/>
      <c r="K77" s="4"/>
      <c r="L77" s="5"/>
      <c r="M77" s="3"/>
    </row>
    <row r="78" spans="1:13" ht="28.8" x14ac:dyDescent="0.3">
      <c r="A78" s="2">
        <v>77</v>
      </c>
      <c r="B78" s="2" t="s">
        <v>80</v>
      </c>
      <c r="C78" s="2" t="s">
        <v>144</v>
      </c>
      <c r="D78" s="2">
        <v>222</v>
      </c>
      <c r="E78" s="3" t="s">
        <v>145</v>
      </c>
      <c r="F78" s="3" t="s">
        <v>175</v>
      </c>
      <c r="G78" s="3" t="s">
        <v>176</v>
      </c>
      <c r="H78" s="2" t="s">
        <v>148</v>
      </c>
      <c r="I78" s="4"/>
      <c r="J78" s="4"/>
      <c r="K78" s="4"/>
      <c r="L78" s="5"/>
      <c r="M78" s="3"/>
    </row>
    <row r="79" spans="1:13" x14ac:dyDescent="0.3">
      <c r="A79" s="2">
        <v>78</v>
      </c>
      <c r="B79" s="2" t="s">
        <v>80</v>
      </c>
      <c r="C79" s="2" t="s">
        <v>144</v>
      </c>
      <c r="D79" s="2">
        <v>239</v>
      </c>
      <c r="E79" s="3" t="s">
        <v>145</v>
      </c>
      <c r="F79" s="3" t="s">
        <v>177</v>
      </c>
      <c r="G79" s="3" t="s">
        <v>178</v>
      </c>
      <c r="H79" s="2" t="s">
        <v>148</v>
      </c>
      <c r="I79" s="4"/>
      <c r="J79" s="4"/>
      <c r="K79" s="4"/>
      <c r="L79" s="5"/>
      <c r="M79" s="3"/>
    </row>
    <row r="80" spans="1:13" x14ac:dyDescent="0.3">
      <c r="A80" s="2">
        <v>79</v>
      </c>
      <c r="B80" s="2" t="s">
        <v>80</v>
      </c>
      <c r="C80" s="2" t="s">
        <v>144</v>
      </c>
      <c r="D80" s="2">
        <v>247</v>
      </c>
      <c r="E80" s="3" t="s">
        <v>145</v>
      </c>
      <c r="F80" s="3" t="s">
        <v>179</v>
      </c>
      <c r="G80" s="3" t="s">
        <v>180</v>
      </c>
      <c r="H80" s="2" t="s">
        <v>148</v>
      </c>
      <c r="I80" s="4"/>
      <c r="J80" s="4"/>
      <c r="K80" s="4"/>
      <c r="L80" s="5"/>
      <c r="M80" s="3"/>
    </row>
    <row r="81" spans="1:13" ht="28.8" x14ac:dyDescent="0.3">
      <c r="A81" s="2">
        <v>80</v>
      </c>
      <c r="B81" s="2" t="s">
        <v>80</v>
      </c>
      <c r="C81" s="2" t="s">
        <v>144</v>
      </c>
      <c r="D81" s="2">
        <v>262</v>
      </c>
      <c r="E81" s="3" t="s">
        <v>145</v>
      </c>
      <c r="F81" s="3" t="s">
        <v>181</v>
      </c>
      <c r="G81" s="3" t="s">
        <v>182</v>
      </c>
      <c r="H81" s="2" t="s">
        <v>148</v>
      </c>
      <c r="I81" s="4"/>
      <c r="J81" s="4"/>
      <c r="K81" s="4"/>
      <c r="L81" s="5"/>
      <c r="M81" s="3"/>
    </row>
    <row r="82" spans="1:13" ht="28.8" x14ac:dyDescent="0.3">
      <c r="A82" s="2">
        <v>81</v>
      </c>
      <c r="B82" s="2" t="s">
        <v>80</v>
      </c>
      <c r="C82" s="2" t="s">
        <v>144</v>
      </c>
      <c r="D82" s="2">
        <v>277</v>
      </c>
      <c r="E82" s="3" t="s">
        <v>145</v>
      </c>
      <c r="F82" s="3" t="s">
        <v>183</v>
      </c>
      <c r="G82" s="3" t="s">
        <v>184</v>
      </c>
      <c r="H82" s="2" t="s">
        <v>148</v>
      </c>
      <c r="I82" s="4"/>
      <c r="J82" s="4"/>
      <c r="K82" s="4"/>
      <c r="L82" s="5"/>
      <c r="M82" s="3"/>
    </row>
    <row r="83" spans="1:13" ht="28.8" x14ac:dyDescent="0.3">
      <c r="A83" s="2">
        <v>82</v>
      </c>
      <c r="B83" s="2" t="s">
        <v>80</v>
      </c>
      <c r="C83" s="2" t="s">
        <v>144</v>
      </c>
      <c r="D83" s="2">
        <v>302</v>
      </c>
      <c r="E83" s="3" t="s">
        <v>145</v>
      </c>
      <c r="F83" s="3" t="s">
        <v>185</v>
      </c>
      <c r="G83" s="3" t="s">
        <v>186</v>
      </c>
      <c r="H83" s="2" t="s">
        <v>148</v>
      </c>
      <c r="I83" s="4"/>
      <c r="J83" s="4"/>
      <c r="K83" s="4"/>
      <c r="L83" s="5"/>
      <c r="M83" s="3"/>
    </row>
    <row r="84" spans="1:13" ht="28.8" x14ac:dyDescent="0.3">
      <c r="A84" s="2">
        <v>83</v>
      </c>
      <c r="B84" s="2" t="s">
        <v>80</v>
      </c>
      <c r="C84" s="2" t="s">
        <v>144</v>
      </c>
      <c r="D84" s="2">
        <v>322</v>
      </c>
      <c r="E84" s="3" t="s">
        <v>145</v>
      </c>
      <c r="F84" s="3" t="s">
        <v>187</v>
      </c>
      <c r="G84" s="3" t="s">
        <v>188</v>
      </c>
      <c r="H84" s="2" t="s">
        <v>148</v>
      </c>
      <c r="I84" s="4"/>
      <c r="J84" s="4"/>
      <c r="K84" s="4"/>
      <c r="L84" s="5"/>
      <c r="M84" s="3"/>
    </row>
    <row r="85" spans="1:13" x14ac:dyDescent="0.3">
      <c r="A85" s="2">
        <v>84</v>
      </c>
      <c r="B85" s="2" t="s">
        <v>80</v>
      </c>
      <c r="C85" s="2" t="s">
        <v>144</v>
      </c>
      <c r="D85" s="2">
        <v>338</v>
      </c>
      <c r="E85" s="3" t="s">
        <v>145</v>
      </c>
      <c r="F85" s="3" t="s">
        <v>189</v>
      </c>
      <c r="G85" s="3" t="s">
        <v>190</v>
      </c>
      <c r="H85" s="2" t="s">
        <v>148</v>
      </c>
      <c r="I85" s="4"/>
      <c r="J85" s="4"/>
      <c r="K85" s="4"/>
      <c r="L85" s="5"/>
      <c r="M85" s="3"/>
    </row>
    <row r="86" spans="1:13" x14ac:dyDescent="0.3">
      <c r="A86" s="2">
        <v>85</v>
      </c>
      <c r="B86" s="2" t="s">
        <v>80</v>
      </c>
      <c r="C86" s="2" t="s">
        <v>144</v>
      </c>
      <c r="D86" s="2">
        <v>354</v>
      </c>
      <c r="E86" s="3" t="s">
        <v>145</v>
      </c>
      <c r="F86" s="3" t="s">
        <v>191</v>
      </c>
      <c r="G86" s="3" t="s">
        <v>192</v>
      </c>
      <c r="H86" s="2"/>
      <c r="I86" s="4"/>
      <c r="J86" s="4"/>
      <c r="K86" s="4"/>
      <c r="L86" s="5"/>
      <c r="M86" s="3"/>
    </row>
    <row r="87" spans="1:13" ht="28.8" x14ac:dyDescent="0.3">
      <c r="A87" s="2">
        <v>86</v>
      </c>
      <c r="B87" s="2" t="s">
        <v>80</v>
      </c>
      <c r="C87" s="2" t="s">
        <v>144</v>
      </c>
      <c r="D87" s="2">
        <v>354</v>
      </c>
      <c r="E87" s="3" t="s">
        <v>145</v>
      </c>
      <c r="F87" s="3" t="s">
        <v>193</v>
      </c>
      <c r="G87" s="3" t="s">
        <v>194</v>
      </c>
      <c r="H87" s="2"/>
      <c r="I87" s="4"/>
      <c r="J87" s="4"/>
      <c r="K87" s="4"/>
      <c r="L87" s="5"/>
      <c r="M87" s="3"/>
    </row>
    <row r="88" spans="1:13" ht="28.8" x14ac:dyDescent="0.3">
      <c r="A88" s="2">
        <v>87</v>
      </c>
      <c r="B88" s="2" t="s">
        <v>80</v>
      </c>
      <c r="C88" s="2" t="s">
        <v>144</v>
      </c>
      <c r="D88" s="2">
        <v>354</v>
      </c>
      <c r="E88" s="3" t="s">
        <v>145</v>
      </c>
      <c r="F88" s="3" t="s">
        <v>195</v>
      </c>
      <c r="G88" s="3" t="s">
        <v>196</v>
      </c>
      <c r="H88" s="2"/>
      <c r="I88" s="4"/>
      <c r="J88" s="4"/>
      <c r="K88" s="4"/>
      <c r="L88" s="5"/>
      <c r="M88" s="3"/>
    </row>
    <row r="89" spans="1:13" ht="43.2" x14ac:dyDescent="0.3">
      <c r="A89" s="2">
        <v>88</v>
      </c>
      <c r="B89" s="2" t="s">
        <v>80</v>
      </c>
      <c r="C89" s="2" t="s">
        <v>144</v>
      </c>
      <c r="D89" s="2">
        <v>354</v>
      </c>
      <c r="E89" s="3" t="s">
        <v>145</v>
      </c>
      <c r="F89" s="3" t="s">
        <v>197</v>
      </c>
      <c r="G89" s="3" t="s">
        <v>198</v>
      </c>
      <c r="H89" s="2"/>
      <c r="I89" s="4"/>
      <c r="J89" s="4"/>
      <c r="K89" s="4"/>
      <c r="L89" s="5"/>
      <c r="M89" s="3"/>
    </row>
    <row r="90" spans="1:13" ht="28.8" x14ac:dyDescent="0.3">
      <c r="A90" s="2">
        <v>89</v>
      </c>
      <c r="B90" s="2" t="s">
        <v>199</v>
      </c>
      <c r="C90" s="2" t="s">
        <v>200</v>
      </c>
      <c r="D90" s="2">
        <v>53</v>
      </c>
      <c r="E90" s="3" t="s">
        <v>201</v>
      </c>
      <c r="F90" s="3" t="s">
        <v>202</v>
      </c>
      <c r="G90" s="3" t="s">
        <v>203</v>
      </c>
      <c r="H90" s="2" t="s">
        <v>204</v>
      </c>
      <c r="I90" s="4"/>
      <c r="J90" s="4"/>
      <c r="K90" s="4"/>
      <c r="L90" s="5"/>
      <c r="M90" s="3"/>
    </row>
    <row r="91" spans="1:13" ht="28.8" x14ac:dyDescent="0.3">
      <c r="A91" s="2">
        <v>90</v>
      </c>
      <c r="B91" s="2" t="s">
        <v>199</v>
      </c>
      <c r="C91" s="2" t="s">
        <v>200</v>
      </c>
      <c r="D91" s="2">
        <v>72</v>
      </c>
      <c r="E91" s="3" t="s">
        <v>201</v>
      </c>
      <c r="F91" s="3" t="s">
        <v>205</v>
      </c>
      <c r="G91" s="3" t="s">
        <v>206</v>
      </c>
      <c r="H91" s="2" t="s">
        <v>204</v>
      </c>
      <c r="I91" s="4"/>
      <c r="J91" s="4"/>
      <c r="K91" s="4"/>
      <c r="L91" s="5"/>
      <c r="M91" s="3"/>
    </row>
    <row r="92" spans="1:13" ht="28.8" x14ac:dyDescent="0.3">
      <c r="A92" s="2">
        <v>91</v>
      </c>
      <c r="B92" s="2" t="s">
        <v>199</v>
      </c>
      <c r="C92" s="2" t="s">
        <v>200</v>
      </c>
      <c r="D92" s="2">
        <v>80</v>
      </c>
      <c r="E92" s="3" t="s">
        <v>201</v>
      </c>
      <c r="F92" s="3" t="s">
        <v>207</v>
      </c>
      <c r="G92" s="3" t="s">
        <v>208</v>
      </c>
      <c r="H92" s="2" t="s">
        <v>204</v>
      </c>
      <c r="I92" s="4"/>
      <c r="J92" s="4"/>
      <c r="K92" s="4"/>
      <c r="L92" s="5"/>
      <c r="M92" s="3"/>
    </row>
    <row r="93" spans="1:13" ht="72" x14ac:dyDescent="0.3">
      <c r="A93" s="2">
        <v>92</v>
      </c>
      <c r="B93" s="2" t="s">
        <v>199</v>
      </c>
      <c r="C93" s="2" t="s">
        <v>200</v>
      </c>
      <c r="D93" s="2">
        <v>89</v>
      </c>
      <c r="E93" s="3" t="s">
        <v>201</v>
      </c>
      <c r="F93" s="3" t="s">
        <v>209</v>
      </c>
      <c r="G93" s="3" t="s">
        <v>210</v>
      </c>
      <c r="H93" s="2" t="s">
        <v>204</v>
      </c>
      <c r="I93" s="4"/>
      <c r="J93" s="4"/>
      <c r="K93" s="4"/>
      <c r="L93" s="5"/>
      <c r="M93" s="3"/>
    </row>
    <row r="94" spans="1:13" ht="28.8" x14ac:dyDescent="0.3">
      <c r="A94" s="2">
        <v>93</v>
      </c>
      <c r="B94" s="2" t="s">
        <v>199</v>
      </c>
      <c r="C94" s="2" t="s">
        <v>200</v>
      </c>
      <c r="D94" s="2">
        <v>100</v>
      </c>
      <c r="E94" s="3" t="s">
        <v>201</v>
      </c>
      <c r="F94" s="3" t="s">
        <v>211</v>
      </c>
      <c r="G94" s="3" t="s">
        <v>212</v>
      </c>
      <c r="H94" s="2" t="s">
        <v>204</v>
      </c>
      <c r="I94" s="4"/>
      <c r="J94" s="4"/>
      <c r="K94" s="4"/>
      <c r="L94" s="5"/>
      <c r="M94" s="3"/>
    </row>
    <row r="95" spans="1:13" ht="28.8" x14ac:dyDescent="0.3">
      <c r="A95" s="2">
        <v>94</v>
      </c>
      <c r="B95" s="2" t="s">
        <v>199</v>
      </c>
      <c r="C95" s="2" t="s">
        <v>200</v>
      </c>
      <c r="D95" s="2">
        <v>109</v>
      </c>
      <c r="E95" s="3" t="s">
        <v>201</v>
      </c>
      <c r="F95" s="3" t="s">
        <v>213</v>
      </c>
      <c r="G95" s="3" t="s">
        <v>214</v>
      </c>
      <c r="H95" s="2" t="s">
        <v>204</v>
      </c>
      <c r="I95" s="4"/>
      <c r="J95" s="4"/>
      <c r="K95" s="4"/>
      <c r="L95" s="5"/>
      <c r="M95" s="3"/>
    </row>
    <row r="96" spans="1:13" ht="28.8" x14ac:dyDescent="0.3">
      <c r="A96" s="2">
        <v>95</v>
      </c>
      <c r="B96" s="2" t="s">
        <v>199</v>
      </c>
      <c r="C96" s="2" t="s">
        <v>200</v>
      </c>
      <c r="D96" s="2">
        <v>120</v>
      </c>
      <c r="E96" s="3" t="s">
        <v>201</v>
      </c>
      <c r="F96" s="3" t="s">
        <v>215</v>
      </c>
      <c r="G96" s="3" t="s">
        <v>216</v>
      </c>
      <c r="H96" s="2" t="s">
        <v>204</v>
      </c>
      <c r="I96" s="4"/>
      <c r="J96" s="4"/>
      <c r="K96" s="4"/>
      <c r="L96" s="5"/>
      <c r="M96" s="3"/>
    </row>
    <row r="97" spans="1:13" x14ac:dyDescent="0.3">
      <c r="A97" s="2">
        <v>96</v>
      </c>
      <c r="B97" s="2" t="s">
        <v>199</v>
      </c>
      <c r="C97" s="2" t="s">
        <v>200</v>
      </c>
      <c r="D97" s="2">
        <v>130</v>
      </c>
      <c r="E97" s="3" t="s">
        <v>201</v>
      </c>
      <c r="F97" s="3" t="s">
        <v>217</v>
      </c>
      <c r="G97" s="3" t="s">
        <v>218</v>
      </c>
      <c r="H97" s="2" t="s">
        <v>204</v>
      </c>
      <c r="I97" s="4"/>
      <c r="J97" s="4"/>
      <c r="K97" s="4"/>
      <c r="L97" s="5"/>
      <c r="M97" s="3"/>
    </row>
    <row r="98" spans="1:13" ht="28.8" x14ac:dyDescent="0.3">
      <c r="A98" s="2">
        <v>97</v>
      </c>
      <c r="B98" s="2" t="s">
        <v>199</v>
      </c>
      <c r="C98" s="2" t="s">
        <v>200</v>
      </c>
      <c r="D98" s="2">
        <v>138</v>
      </c>
      <c r="E98" s="3" t="s">
        <v>201</v>
      </c>
      <c r="F98" s="3" t="s">
        <v>219</v>
      </c>
      <c r="G98" s="3" t="s">
        <v>220</v>
      </c>
      <c r="H98" s="2" t="s">
        <v>204</v>
      </c>
      <c r="I98" s="4"/>
      <c r="J98" s="4"/>
      <c r="K98" s="4"/>
      <c r="L98" s="5"/>
      <c r="M98" s="3"/>
    </row>
    <row r="99" spans="1:13" x14ac:dyDescent="0.3">
      <c r="A99" s="2">
        <v>98</v>
      </c>
      <c r="B99" s="2" t="s">
        <v>199</v>
      </c>
      <c r="C99" s="2" t="s">
        <v>200</v>
      </c>
      <c r="D99" s="2">
        <v>158</v>
      </c>
      <c r="E99" s="3" t="s">
        <v>201</v>
      </c>
      <c r="F99" s="3" t="s">
        <v>221</v>
      </c>
      <c r="G99" s="3" t="s">
        <v>222</v>
      </c>
      <c r="H99" s="2" t="s">
        <v>204</v>
      </c>
      <c r="I99" s="4"/>
      <c r="J99" s="4"/>
      <c r="K99" s="4"/>
      <c r="L99" s="5"/>
      <c r="M99" s="3"/>
    </row>
    <row r="100" spans="1:13" x14ac:dyDescent="0.3">
      <c r="A100" s="2">
        <v>99</v>
      </c>
      <c r="B100" s="2" t="s">
        <v>199</v>
      </c>
      <c r="C100" s="2" t="s">
        <v>200</v>
      </c>
      <c r="D100" s="2">
        <v>168</v>
      </c>
      <c r="E100" s="3" t="s">
        <v>201</v>
      </c>
      <c r="F100" s="3" t="s">
        <v>223</v>
      </c>
      <c r="G100" s="3" t="s">
        <v>224</v>
      </c>
      <c r="H100" s="2" t="s">
        <v>204</v>
      </c>
      <c r="I100" s="4"/>
      <c r="J100" s="4"/>
      <c r="K100" s="4"/>
      <c r="L100" s="5"/>
      <c r="M100" s="3"/>
    </row>
    <row r="101" spans="1:13" x14ac:dyDescent="0.3">
      <c r="A101" s="2">
        <v>100</v>
      </c>
      <c r="B101" s="2" t="s">
        <v>199</v>
      </c>
      <c r="C101" s="2" t="s">
        <v>200</v>
      </c>
      <c r="D101" s="2">
        <v>181</v>
      </c>
      <c r="E101" s="3" t="s">
        <v>201</v>
      </c>
      <c r="F101" s="3" t="s">
        <v>225</v>
      </c>
      <c r="G101" s="3" t="s">
        <v>226</v>
      </c>
      <c r="H101" s="2" t="s">
        <v>204</v>
      </c>
      <c r="I101" s="4"/>
      <c r="J101" s="4"/>
      <c r="K101" s="4"/>
      <c r="L101" s="5"/>
      <c r="M101" s="3"/>
    </row>
    <row r="102" spans="1:13" ht="57.6" x14ac:dyDescent="0.3">
      <c r="A102" s="2">
        <v>101</v>
      </c>
      <c r="B102" s="2" t="s">
        <v>199</v>
      </c>
      <c r="C102" s="2" t="s">
        <v>200</v>
      </c>
      <c r="D102" s="2">
        <v>190</v>
      </c>
      <c r="E102" s="3" t="s">
        <v>201</v>
      </c>
      <c r="F102" s="3" t="s">
        <v>227</v>
      </c>
      <c r="G102" s="3" t="s">
        <v>228</v>
      </c>
      <c r="H102" s="2" t="s">
        <v>204</v>
      </c>
      <c r="I102" s="4"/>
      <c r="J102" s="4"/>
      <c r="K102" s="4"/>
      <c r="L102" s="5"/>
      <c r="M102" s="3"/>
    </row>
    <row r="103" spans="1:13" ht="57.6" x14ac:dyDescent="0.3">
      <c r="A103" s="2">
        <v>102</v>
      </c>
      <c r="B103" s="2" t="s">
        <v>199</v>
      </c>
      <c r="C103" s="2" t="s">
        <v>200</v>
      </c>
      <c r="D103" s="2">
        <v>202</v>
      </c>
      <c r="E103" s="3" t="s">
        <v>201</v>
      </c>
      <c r="F103" s="3" t="s">
        <v>229</v>
      </c>
      <c r="G103" s="3" t="s">
        <v>230</v>
      </c>
      <c r="H103" s="2" t="s">
        <v>204</v>
      </c>
      <c r="I103" s="4"/>
      <c r="J103" s="4"/>
      <c r="K103" s="4"/>
      <c r="L103" s="5"/>
      <c r="M103" s="3"/>
    </row>
    <row r="104" spans="1:13" ht="28.8" x14ac:dyDescent="0.3">
      <c r="A104" s="2">
        <v>103</v>
      </c>
      <c r="B104" s="2" t="s">
        <v>199</v>
      </c>
      <c r="C104" s="2" t="s">
        <v>200</v>
      </c>
      <c r="D104" s="2">
        <v>223</v>
      </c>
      <c r="E104" s="3" t="s">
        <v>201</v>
      </c>
      <c r="F104" s="3" t="s">
        <v>231</v>
      </c>
      <c r="G104" s="3" t="s">
        <v>232</v>
      </c>
      <c r="H104" s="2" t="s">
        <v>204</v>
      </c>
      <c r="I104" s="4"/>
      <c r="J104" s="4"/>
      <c r="K104" s="4"/>
      <c r="L104" s="5"/>
      <c r="M104" s="3"/>
    </row>
    <row r="105" spans="1:13" ht="28.8" x14ac:dyDescent="0.3">
      <c r="A105" s="2">
        <v>104</v>
      </c>
      <c r="B105" s="2" t="s">
        <v>199</v>
      </c>
      <c r="C105" s="2" t="s">
        <v>200</v>
      </c>
      <c r="D105" s="2">
        <v>242</v>
      </c>
      <c r="E105" s="3" t="s">
        <v>201</v>
      </c>
      <c r="F105" s="3" t="s">
        <v>233</v>
      </c>
      <c r="G105" s="3" t="s">
        <v>234</v>
      </c>
      <c r="H105" s="2" t="s">
        <v>204</v>
      </c>
      <c r="I105" s="4"/>
      <c r="J105" s="4"/>
      <c r="K105" s="4"/>
      <c r="L105" s="5"/>
      <c r="M105" s="3"/>
    </row>
    <row r="106" spans="1:13" ht="43.2" x14ac:dyDescent="0.3">
      <c r="A106" s="2">
        <v>105</v>
      </c>
      <c r="B106" s="2" t="s">
        <v>199</v>
      </c>
      <c r="C106" s="2" t="s">
        <v>200</v>
      </c>
      <c r="D106" s="2">
        <v>256</v>
      </c>
      <c r="E106" s="3" t="s">
        <v>201</v>
      </c>
      <c r="F106" s="3" t="s">
        <v>235</v>
      </c>
      <c r="G106" s="3" t="s">
        <v>236</v>
      </c>
      <c r="H106" s="2" t="s">
        <v>204</v>
      </c>
      <c r="I106" s="4"/>
      <c r="J106" s="4"/>
      <c r="K106" s="4"/>
      <c r="L106" s="5"/>
      <c r="M106" s="3"/>
    </row>
    <row r="107" spans="1:13" ht="43.2" x14ac:dyDescent="0.3">
      <c r="A107" s="2">
        <v>106</v>
      </c>
      <c r="B107" s="2" t="s">
        <v>199</v>
      </c>
      <c r="C107" s="2" t="s">
        <v>200</v>
      </c>
      <c r="D107" s="2">
        <v>273</v>
      </c>
      <c r="E107" s="3" t="s">
        <v>201</v>
      </c>
      <c r="F107" s="3" t="s">
        <v>237</v>
      </c>
      <c r="G107" s="3" t="s">
        <v>238</v>
      </c>
      <c r="H107" s="2" t="s">
        <v>204</v>
      </c>
      <c r="I107" s="4"/>
      <c r="J107" s="4"/>
      <c r="K107" s="4"/>
      <c r="L107" s="5"/>
      <c r="M107" s="3"/>
    </row>
    <row r="108" spans="1:13" x14ac:dyDescent="0.3">
      <c r="A108" s="2">
        <v>107</v>
      </c>
      <c r="B108" s="2" t="s">
        <v>199</v>
      </c>
      <c r="C108" s="2" t="s">
        <v>200</v>
      </c>
      <c r="D108" s="2">
        <v>286</v>
      </c>
      <c r="E108" s="3" t="s">
        <v>201</v>
      </c>
      <c r="F108" s="3" t="s">
        <v>239</v>
      </c>
      <c r="G108" s="3" t="s">
        <v>240</v>
      </c>
      <c r="H108" s="2" t="s">
        <v>204</v>
      </c>
      <c r="I108" s="4"/>
      <c r="J108" s="4"/>
      <c r="K108" s="4"/>
      <c r="L108" s="5"/>
      <c r="M108" s="3"/>
    </row>
    <row r="109" spans="1:13" ht="72" x14ac:dyDescent="0.3">
      <c r="A109" s="2">
        <v>108</v>
      </c>
      <c r="B109" s="2" t="s">
        <v>199</v>
      </c>
      <c r="C109" s="2" t="s">
        <v>200</v>
      </c>
      <c r="D109" s="2">
        <v>299</v>
      </c>
      <c r="E109" s="3" t="s">
        <v>201</v>
      </c>
      <c r="F109" s="3" t="s">
        <v>241</v>
      </c>
      <c r="G109" s="3" t="s">
        <v>242</v>
      </c>
      <c r="H109" s="2" t="s">
        <v>204</v>
      </c>
      <c r="I109" s="4"/>
      <c r="J109" s="4"/>
      <c r="K109" s="4"/>
      <c r="L109" s="5"/>
      <c r="M109" s="3"/>
    </row>
    <row r="110" spans="1:13" ht="28.8" x14ac:dyDescent="0.3">
      <c r="A110" s="2">
        <v>109</v>
      </c>
      <c r="B110" s="2" t="s">
        <v>199</v>
      </c>
      <c r="C110" s="2" t="s">
        <v>200</v>
      </c>
      <c r="D110" s="2">
        <v>315</v>
      </c>
      <c r="E110" s="3" t="s">
        <v>201</v>
      </c>
      <c r="F110" s="3" t="s">
        <v>243</v>
      </c>
      <c r="G110" s="3" t="s">
        <v>244</v>
      </c>
      <c r="H110" s="2" t="s">
        <v>204</v>
      </c>
      <c r="I110" s="4"/>
      <c r="J110" s="4"/>
      <c r="K110" s="4"/>
      <c r="L110" s="5"/>
      <c r="M110" s="3"/>
    </row>
    <row r="111" spans="1:13" x14ac:dyDescent="0.3">
      <c r="A111" s="2">
        <v>110</v>
      </c>
      <c r="B111" s="2" t="s">
        <v>199</v>
      </c>
      <c r="C111" s="2" t="s">
        <v>200</v>
      </c>
      <c r="D111" s="2">
        <v>327</v>
      </c>
      <c r="E111" s="3" t="s">
        <v>201</v>
      </c>
      <c r="F111" s="3" t="s">
        <v>245</v>
      </c>
      <c r="G111" s="3" t="s">
        <v>246</v>
      </c>
      <c r="H111" s="2" t="s">
        <v>204</v>
      </c>
      <c r="I111" s="4"/>
      <c r="J111" s="4"/>
      <c r="K111" s="4"/>
      <c r="L111" s="5"/>
      <c r="M111" s="3"/>
    </row>
    <row r="112" spans="1:13" ht="43.2" x14ac:dyDescent="0.3">
      <c r="A112" s="2">
        <v>111</v>
      </c>
      <c r="B112" s="2" t="s">
        <v>199</v>
      </c>
      <c r="C112" s="2" t="s">
        <v>200</v>
      </c>
      <c r="D112" s="2">
        <v>342</v>
      </c>
      <c r="E112" s="3" t="s">
        <v>201</v>
      </c>
      <c r="F112" s="3" t="s">
        <v>247</v>
      </c>
      <c r="G112" s="3" t="s">
        <v>248</v>
      </c>
      <c r="H112" s="2" t="s">
        <v>204</v>
      </c>
      <c r="I112" s="4"/>
      <c r="J112" s="4"/>
      <c r="K112" s="4"/>
      <c r="L112" s="5"/>
      <c r="M112" s="3"/>
    </row>
    <row r="113" spans="1:13" ht="28.8" x14ac:dyDescent="0.3">
      <c r="A113" s="2">
        <v>112</v>
      </c>
      <c r="B113" s="2" t="s">
        <v>199</v>
      </c>
      <c r="C113" s="2" t="s">
        <v>200</v>
      </c>
      <c r="D113" s="2">
        <v>370</v>
      </c>
      <c r="E113" s="3" t="s">
        <v>201</v>
      </c>
      <c r="F113" s="3" t="s">
        <v>249</v>
      </c>
      <c r="G113" s="3" t="s">
        <v>250</v>
      </c>
      <c r="H113" s="2" t="s">
        <v>204</v>
      </c>
      <c r="I113" s="4"/>
      <c r="J113" s="4"/>
      <c r="K113" s="4"/>
      <c r="L113" s="5"/>
      <c r="M113" s="3"/>
    </row>
    <row r="114" spans="1:13" ht="43.2" x14ac:dyDescent="0.3">
      <c r="A114" s="2">
        <v>113</v>
      </c>
      <c r="B114" s="2" t="s">
        <v>199</v>
      </c>
      <c r="C114" s="2" t="s">
        <v>200</v>
      </c>
      <c r="D114" s="2">
        <v>383</v>
      </c>
      <c r="E114" s="3" t="s">
        <v>201</v>
      </c>
      <c r="F114" s="3" t="s">
        <v>251</v>
      </c>
      <c r="G114" s="3" t="s">
        <v>252</v>
      </c>
      <c r="H114" s="2" t="s">
        <v>204</v>
      </c>
      <c r="I114" s="4"/>
      <c r="J114" s="4"/>
      <c r="K114" s="4"/>
      <c r="L114" s="5"/>
      <c r="M114" s="3"/>
    </row>
    <row r="115" spans="1:13" x14ac:dyDescent="0.3">
      <c r="A115" s="2">
        <v>114</v>
      </c>
      <c r="B115" s="2" t="s">
        <v>199</v>
      </c>
      <c r="C115" s="2" t="s">
        <v>200</v>
      </c>
      <c r="D115" s="2">
        <v>401</v>
      </c>
      <c r="E115" s="3" t="s">
        <v>201</v>
      </c>
      <c r="F115" s="3" t="s">
        <v>253</v>
      </c>
      <c r="G115" s="3" t="s">
        <v>254</v>
      </c>
      <c r="H115" s="2" t="s">
        <v>204</v>
      </c>
      <c r="I115" s="4"/>
      <c r="J115" s="4"/>
      <c r="K115" s="4"/>
      <c r="L115" s="5"/>
      <c r="M115" s="3"/>
    </row>
    <row r="116" spans="1:13" ht="28.8" x14ac:dyDescent="0.3">
      <c r="A116" s="2">
        <v>115</v>
      </c>
      <c r="B116" s="2" t="s">
        <v>199</v>
      </c>
      <c r="C116" s="2" t="s">
        <v>200</v>
      </c>
      <c r="D116" s="2">
        <v>410</v>
      </c>
      <c r="E116" s="3" t="s">
        <v>201</v>
      </c>
      <c r="F116" s="3" t="s">
        <v>255</v>
      </c>
      <c r="G116" s="3" t="s">
        <v>256</v>
      </c>
      <c r="H116" s="2" t="s">
        <v>204</v>
      </c>
      <c r="I116" s="4"/>
      <c r="J116" s="4"/>
      <c r="K116" s="4"/>
      <c r="L116" s="5"/>
      <c r="M116" s="3"/>
    </row>
    <row r="117" spans="1:13" x14ac:dyDescent="0.3">
      <c r="A117" s="2">
        <v>116</v>
      </c>
      <c r="B117" s="2" t="s">
        <v>199</v>
      </c>
      <c r="C117" s="2" t="s">
        <v>200</v>
      </c>
      <c r="D117" s="2">
        <v>426</v>
      </c>
      <c r="E117" s="3" t="s">
        <v>201</v>
      </c>
      <c r="F117" s="3" t="s">
        <v>257</v>
      </c>
      <c r="G117" s="3" t="s">
        <v>258</v>
      </c>
      <c r="H117" s="2" t="s">
        <v>204</v>
      </c>
      <c r="I117" s="4"/>
      <c r="J117" s="4"/>
      <c r="K117" s="4"/>
      <c r="L117" s="5"/>
      <c r="M117" s="3"/>
    </row>
    <row r="118" spans="1:13" ht="28.8" x14ac:dyDescent="0.3">
      <c r="A118" s="2">
        <v>117</v>
      </c>
      <c r="B118" s="2" t="s">
        <v>199</v>
      </c>
      <c r="C118" s="2" t="s">
        <v>200</v>
      </c>
      <c r="D118" s="2">
        <v>461</v>
      </c>
      <c r="E118" s="3" t="s">
        <v>201</v>
      </c>
      <c r="F118" s="3" t="s">
        <v>259</v>
      </c>
      <c r="G118" s="3" t="s">
        <v>260</v>
      </c>
      <c r="H118" s="2"/>
      <c r="I118" s="4"/>
      <c r="J118" s="4"/>
      <c r="K118" s="4"/>
      <c r="L118" s="5"/>
      <c r="M118" s="3"/>
    </row>
    <row r="119" spans="1:13" ht="28.8" x14ac:dyDescent="0.3">
      <c r="A119" s="2">
        <v>118</v>
      </c>
      <c r="B119" s="2" t="s">
        <v>199</v>
      </c>
      <c r="C119" s="2" t="s">
        <v>200</v>
      </c>
      <c r="D119" s="2">
        <v>461</v>
      </c>
      <c r="E119" s="3" t="s">
        <v>201</v>
      </c>
      <c r="F119" s="3" t="s">
        <v>261</v>
      </c>
      <c r="G119" s="3" t="s">
        <v>262</v>
      </c>
      <c r="H119" s="2"/>
      <c r="I119" s="4"/>
      <c r="J119" s="4"/>
      <c r="K119" s="4"/>
      <c r="L119" s="5"/>
      <c r="M119" s="3"/>
    </row>
    <row r="120" spans="1:13" ht="43.2" x14ac:dyDescent="0.3">
      <c r="A120" s="2">
        <v>119</v>
      </c>
      <c r="B120" s="2" t="s">
        <v>199</v>
      </c>
      <c r="C120" s="2" t="s">
        <v>200</v>
      </c>
      <c r="D120" s="2">
        <v>461</v>
      </c>
      <c r="E120" s="3" t="s">
        <v>201</v>
      </c>
      <c r="F120" s="3" t="s">
        <v>263</v>
      </c>
      <c r="G120" s="3" t="s">
        <v>264</v>
      </c>
      <c r="H120" s="2"/>
      <c r="I120" s="4"/>
      <c r="J120" s="4"/>
      <c r="K120" s="4"/>
      <c r="L120" s="5"/>
      <c r="M120" s="3"/>
    </row>
    <row r="121" spans="1:13" ht="57.6" x14ac:dyDescent="0.3">
      <c r="A121" s="2">
        <v>120</v>
      </c>
      <c r="B121" s="2" t="s">
        <v>199</v>
      </c>
      <c r="C121" s="2" t="s">
        <v>200</v>
      </c>
      <c r="D121" s="2">
        <v>461</v>
      </c>
      <c r="E121" s="3" t="s">
        <v>201</v>
      </c>
      <c r="F121" s="3" t="s">
        <v>265</v>
      </c>
      <c r="G121" s="3" t="s">
        <v>266</v>
      </c>
      <c r="H121" s="2"/>
      <c r="I121" s="4"/>
      <c r="J121" s="4"/>
      <c r="K121" s="4"/>
      <c r="L121" s="5"/>
      <c r="M121" s="3"/>
    </row>
    <row r="122" spans="1:13" ht="28.8" x14ac:dyDescent="0.3">
      <c r="A122" s="2">
        <v>121</v>
      </c>
      <c r="B122" s="2" t="s">
        <v>199</v>
      </c>
      <c r="C122" s="2" t="s">
        <v>200</v>
      </c>
      <c r="D122" s="2">
        <v>461</v>
      </c>
      <c r="E122" s="3" t="s">
        <v>201</v>
      </c>
      <c r="F122" s="3" t="s">
        <v>267</v>
      </c>
      <c r="G122" s="3" t="s">
        <v>268</v>
      </c>
      <c r="H122" s="2"/>
      <c r="I122" s="4"/>
      <c r="J122" s="4"/>
      <c r="K122" s="4"/>
      <c r="L122" s="5"/>
      <c r="M122" s="3"/>
    </row>
    <row r="123" spans="1:13" ht="28.8" x14ac:dyDescent="0.3">
      <c r="A123" s="2">
        <v>122</v>
      </c>
      <c r="B123" s="2" t="s">
        <v>199</v>
      </c>
      <c r="C123" s="2" t="s">
        <v>200</v>
      </c>
      <c r="D123" s="2">
        <v>461</v>
      </c>
      <c r="E123" s="3" t="s">
        <v>201</v>
      </c>
      <c r="F123" s="3" t="s">
        <v>269</v>
      </c>
      <c r="G123" s="3" t="s">
        <v>270</v>
      </c>
      <c r="H123" s="2"/>
      <c r="I123" s="4"/>
      <c r="J123" s="4"/>
      <c r="K123" s="4"/>
      <c r="L123" s="5"/>
      <c r="M123" s="3"/>
    </row>
    <row r="124" spans="1:13" ht="28.8" x14ac:dyDescent="0.3">
      <c r="A124" s="2">
        <v>123</v>
      </c>
      <c r="B124" s="2" t="s">
        <v>199</v>
      </c>
      <c r="C124" s="2" t="s">
        <v>200</v>
      </c>
      <c r="D124" s="2">
        <v>461</v>
      </c>
      <c r="E124" s="3" t="s">
        <v>201</v>
      </c>
      <c r="F124" s="3" t="s">
        <v>271</v>
      </c>
      <c r="G124" s="3" t="s">
        <v>272</v>
      </c>
      <c r="H124" s="2"/>
      <c r="I124" s="4"/>
      <c r="J124" s="4"/>
      <c r="K124" s="4"/>
      <c r="L124" s="5"/>
      <c r="M124" s="3"/>
    </row>
    <row r="125" spans="1:13" ht="28.8" x14ac:dyDescent="0.3">
      <c r="A125" s="2">
        <v>124</v>
      </c>
      <c r="B125" s="2" t="s">
        <v>199</v>
      </c>
      <c r="C125" s="2" t="s">
        <v>200</v>
      </c>
      <c r="D125" s="2">
        <v>461</v>
      </c>
      <c r="E125" s="3" t="s">
        <v>201</v>
      </c>
      <c r="F125" s="3" t="s">
        <v>273</v>
      </c>
      <c r="G125" s="3" t="s">
        <v>274</v>
      </c>
      <c r="H125" s="2"/>
      <c r="I125" s="4"/>
      <c r="J125" s="4"/>
      <c r="K125" s="4"/>
      <c r="L125" s="5"/>
      <c r="M125" s="3"/>
    </row>
    <row r="126" spans="1:13" ht="28.8" x14ac:dyDescent="0.3">
      <c r="A126" s="2">
        <v>125</v>
      </c>
      <c r="B126" s="2" t="s">
        <v>199</v>
      </c>
      <c r="C126" s="2" t="s">
        <v>200</v>
      </c>
      <c r="D126" s="2">
        <v>461</v>
      </c>
      <c r="E126" s="3" t="s">
        <v>201</v>
      </c>
      <c r="F126" s="3" t="s">
        <v>275</v>
      </c>
      <c r="G126" s="3" t="s">
        <v>276</v>
      </c>
      <c r="H126" s="2"/>
      <c r="I126" s="4"/>
      <c r="J126" s="4"/>
      <c r="K126" s="4"/>
      <c r="L126" s="5"/>
      <c r="M126" s="3"/>
    </row>
    <row r="127" spans="1:13" ht="28.8" x14ac:dyDescent="0.3">
      <c r="A127" s="2">
        <v>126</v>
      </c>
      <c r="B127" s="2" t="s">
        <v>199</v>
      </c>
      <c r="C127" s="2" t="s">
        <v>200</v>
      </c>
      <c r="D127" s="2">
        <v>461</v>
      </c>
      <c r="E127" s="3" t="s">
        <v>201</v>
      </c>
      <c r="F127" s="3" t="s">
        <v>277</v>
      </c>
      <c r="G127" s="3" t="s">
        <v>278</v>
      </c>
      <c r="H127" s="2"/>
      <c r="I127" s="4"/>
      <c r="J127" s="4"/>
      <c r="K127" s="4"/>
      <c r="L127" s="5"/>
      <c r="M127" s="3"/>
    </row>
    <row r="128" spans="1:13" ht="28.8" x14ac:dyDescent="0.3">
      <c r="A128" s="2">
        <v>127</v>
      </c>
      <c r="B128" s="2" t="s">
        <v>199</v>
      </c>
      <c r="C128" s="2" t="s">
        <v>200</v>
      </c>
      <c r="D128" s="2">
        <v>461</v>
      </c>
      <c r="E128" s="3" t="s">
        <v>201</v>
      </c>
      <c r="F128" s="3" t="s">
        <v>279</v>
      </c>
      <c r="G128" s="3" t="s">
        <v>280</v>
      </c>
      <c r="H128" s="2"/>
      <c r="I128" s="4"/>
      <c r="J128" s="4"/>
      <c r="K128" s="4"/>
      <c r="L128" s="5"/>
      <c r="M128" s="3"/>
    </row>
    <row r="129" spans="1:13" x14ac:dyDescent="0.3">
      <c r="A129" s="2">
        <v>128</v>
      </c>
      <c r="B129" s="2" t="s">
        <v>199</v>
      </c>
      <c r="C129" s="2" t="s">
        <v>200</v>
      </c>
      <c r="D129" s="2">
        <v>461</v>
      </c>
      <c r="E129" s="3" t="s">
        <v>201</v>
      </c>
      <c r="F129" s="3" t="s">
        <v>281</v>
      </c>
      <c r="G129" s="3" t="s">
        <v>282</v>
      </c>
      <c r="H129" s="2"/>
      <c r="I129" s="4"/>
      <c r="J129" s="4"/>
      <c r="K129" s="4"/>
      <c r="L129" s="5"/>
      <c r="M129" s="3"/>
    </row>
    <row r="130" spans="1:13" ht="28.8" x14ac:dyDescent="0.3">
      <c r="A130" s="2">
        <v>129</v>
      </c>
      <c r="B130" s="2" t="s">
        <v>199</v>
      </c>
      <c r="C130" s="2" t="s">
        <v>200</v>
      </c>
      <c r="D130" s="2">
        <v>461</v>
      </c>
      <c r="E130" s="3" t="s">
        <v>201</v>
      </c>
      <c r="F130" s="3" t="s">
        <v>283</v>
      </c>
      <c r="G130" s="3" t="s">
        <v>284</v>
      </c>
      <c r="H130" s="2"/>
      <c r="I130" s="4"/>
      <c r="J130" s="4"/>
      <c r="K130" s="4"/>
      <c r="L130" s="5"/>
      <c r="M130" s="3"/>
    </row>
    <row r="131" spans="1:13" ht="28.8" x14ac:dyDescent="0.3">
      <c r="A131" s="2">
        <v>130</v>
      </c>
      <c r="B131" s="2" t="s">
        <v>199</v>
      </c>
      <c r="C131" s="2" t="s">
        <v>200</v>
      </c>
      <c r="D131" s="2">
        <v>461</v>
      </c>
      <c r="E131" s="3" t="s">
        <v>201</v>
      </c>
      <c r="F131" s="3" t="s">
        <v>285</v>
      </c>
      <c r="G131" s="3" t="s">
        <v>286</v>
      </c>
      <c r="H131" s="2"/>
      <c r="I131" s="4"/>
      <c r="J131" s="4"/>
      <c r="K131" s="4"/>
      <c r="L131" s="5"/>
      <c r="M131" s="3"/>
    </row>
    <row r="132" spans="1:13" x14ac:dyDescent="0.3">
      <c r="A132" s="2">
        <v>131</v>
      </c>
      <c r="B132" s="2" t="s">
        <v>199</v>
      </c>
      <c r="C132" s="2" t="s">
        <v>200</v>
      </c>
      <c r="D132" s="2">
        <v>461</v>
      </c>
      <c r="E132" s="3" t="s">
        <v>201</v>
      </c>
      <c r="F132" s="3" t="s">
        <v>287</v>
      </c>
      <c r="G132" s="3" t="s">
        <v>288</v>
      </c>
      <c r="H132" s="2"/>
      <c r="I132" s="4"/>
      <c r="J132" s="4"/>
      <c r="K132" s="4"/>
      <c r="L132" s="5"/>
      <c r="M132" s="3"/>
    </row>
    <row r="133" spans="1:13" x14ac:dyDescent="0.3">
      <c r="A133" s="2">
        <v>132</v>
      </c>
      <c r="B133" s="2" t="s">
        <v>199</v>
      </c>
      <c r="C133" s="2" t="s">
        <v>200</v>
      </c>
      <c r="D133" s="2">
        <v>461</v>
      </c>
      <c r="E133" s="3" t="s">
        <v>201</v>
      </c>
      <c r="F133" s="3" t="s">
        <v>289</v>
      </c>
      <c r="G133" s="3" t="s">
        <v>290</v>
      </c>
      <c r="H133" s="2"/>
      <c r="I133" s="4"/>
      <c r="J133" s="4"/>
      <c r="K133" s="4"/>
      <c r="L133" s="5"/>
      <c r="M133" s="3"/>
    </row>
    <row r="134" spans="1:13" x14ac:dyDescent="0.3">
      <c r="A134" s="2">
        <v>133</v>
      </c>
      <c r="B134" s="2" t="s">
        <v>199</v>
      </c>
      <c r="C134" s="2" t="s">
        <v>200</v>
      </c>
      <c r="D134" s="2">
        <v>461</v>
      </c>
      <c r="E134" s="3" t="s">
        <v>201</v>
      </c>
      <c r="F134" s="3" t="s">
        <v>291</v>
      </c>
      <c r="G134" s="3" t="s">
        <v>292</v>
      </c>
      <c r="H134" s="2"/>
      <c r="I134" s="4"/>
      <c r="J134" s="4"/>
      <c r="K134" s="4"/>
      <c r="L134" s="5"/>
      <c r="M134" s="3"/>
    </row>
    <row r="135" spans="1:13" x14ac:dyDescent="0.3">
      <c r="A135" s="2">
        <v>134</v>
      </c>
      <c r="B135" s="2" t="s">
        <v>199</v>
      </c>
      <c r="C135" s="2" t="s">
        <v>200</v>
      </c>
      <c r="D135" s="2">
        <v>461</v>
      </c>
      <c r="E135" s="3" t="s">
        <v>201</v>
      </c>
      <c r="F135" s="3" t="s">
        <v>293</v>
      </c>
      <c r="G135" s="3" t="s">
        <v>294</v>
      </c>
      <c r="H135" s="2"/>
      <c r="I135" s="4"/>
      <c r="J135" s="4"/>
      <c r="K135" s="4"/>
      <c r="L135" s="5"/>
      <c r="M135" s="3"/>
    </row>
    <row r="136" spans="1:13" x14ac:dyDescent="0.3">
      <c r="A136" s="2">
        <v>135</v>
      </c>
      <c r="B136" s="2" t="s">
        <v>199</v>
      </c>
      <c r="C136" s="2" t="s">
        <v>200</v>
      </c>
      <c r="D136" s="2">
        <v>461</v>
      </c>
      <c r="E136" s="3" t="s">
        <v>201</v>
      </c>
      <c r="F136" s="3" t="s">
        <v>295</v>
      </c>
      <c r="G136" s="3" t="s">
        <v>296</v>
      </c>
      <c r="H136" s="2"/>
      <c r="I136" s="4"/>
      <c r="J136" s="4"/>
      <c r="K136" s="4"/>
      <c r="L136" s="5"/>
      <c r="M136" s="3"/>
    </row>
    <row r="137" spans="1:13" ht="28.8" x14ac:dyDescent="0.3">
      <c r="A137" s="2">
        <v>136</v>
      </c>
      <c r="B137" s="2" t="s">
        <v>199</v>
      </c>
      <c r="C137" s="2" t="s">
        <v>200</v>
      </c>
      <c r="D137" s="2">
        <v>461</v>
      </c>
      <c r="E137" s="3" t="s">
        <v>201</v>
      </c>
      <c r="F137" s="3" t="s">
        <v>297</v>
      </c>
      <c r="G137" s="3" t="s">
        <v>298</v>
      </c>
      <c r="H137" s="2"/>
      <c r="I137" s="4"/>
      <c r="J137" s="4"/>
      <c r="K137" s="4"/>
      <c r="L137" s="5"/>
      <c r="M137" s="3"/>
    </row>
    <row r="138" spans="1:13" ht="28.8" x14ac:dyDescent="0.3">
      <c r="A138" s="2">
        <v>137</v>
      </c>
      <c r="B138" s="2" t="s">
        <v>199</v>
      </c>
      <c r="C138" s="2" t="s">
        <v>200</v>
      </c>
      <c r="D138" s="2">
        <v>461</v>
      </c>
      <c r="E138" s="3" t="s">
        <v>201</v>
      </c>
      <c r="F138" s="3" t="s">
        <v>299</v>
      </c>
      <c r="G138" s="3" t="s">
        <v>300</v>
      </c>
      <c r="H138" s="2"/>
      <c r="I138" s="4"/>
      <c r="J138" s="4"/>
      <c r="K138" s="4"/>
      <c r="L138" s="5"/>
      <c r="M138" s="3"/>
    </row>
    <row r="139" spans="1:13" ht="28.8" x14ac:dyDescent="0.3">
      <c r="A139" s="2">
        <v>138</v>
      </c>
      <c r="B139" s="2" t="s">
        <v>199</v>
      </c>
      <c r="C139" s="2" t="s">
        <v>301</v>
      </c>
      <c r="D139" s="2">
        <v>51</v>
      </c>
      <c r="E139" s="3" t="s">
        <v>302</v>
      </c>
      <c r="F139" s="3" t="s">
        <v>303</v>
      </c>
      <c r="G139" s="3" t="s">
        <v>304</v>
      </c>
      <c r="H139" s="2" t="s">
        <v>305</v>
      </c>
      <c r="I139" s="4"/>
      <c r="J139" s="4"/>
      <c r="K139" s="4"/>
      <c r="L139" s="5"/>
      <c r="M139" s="3"/>
    </row>
    <row r="140" spans="1:13" ht="43.2" x14ac:dyDescent="0.3">
      <c r="A140" s="2">
        <v>139</v>
      </c>
      <c r="B140" s="2" t="s">
        <v>199</v>
      </c>
      <c r="C140" s="2" t="s">
        <v>301</v>
      </c>
      <c r="D140" s="2">
        <v>59</v>
      </c>
      <c r="E140" s="3" t="s">
        <v>302</v>
      </c>
      <c r="F140" s="3" t="s">
        <v>306</v>
      </c>
      <c r="G140" s="3" t="s">
        <v>307</v>
      </c>
      <c r="H140" s="2" t="s">
        <v>305</v>
      </c>
      <c r="I140" s="4"/>
      <c r="J140" s="4"/>
      <c r="K140" s="4"/>
      <c r="L140" s="5"/>
      <c r="M140" s="3"/>
    </row>
    <row r="141" spans="1:13" ht="28.8" x14ac:dyDescent="0.3">
      <c r="A141" s="2">
        <v>140</v>
      </c>
      <c r="B141" s="2" t="s">
        <v>199</v>
      </c>
      <c r="C141" s="2" t="s">
        <v>301</v>
      </c>
      <c r="D141" s="2">
        <v>77</v>
      </c>
      <c r="E141" s="3" t="s">
        <v>302</v>
      </c>
      <c r="F141" s="3" t="s">
        <v>308</v>
      </c>
      <c r="G141" s="3" t="s">
        <v>309</v>
      </c>
      <c r="H141" s="2" t="s">
        <v>305</v>
      </c>
      <c r="I141" s="4"/>
      <c r="J141" s="4"/>
      <c r="K141" s="4"/>
      <c r="L141" s="5"/>
      <c r="M141" s="3"/>
    </row>
    <row r="142" spans="1:13" x14ac:dyDescent="0.3">
      <c r="A142" s="2">
        <v>141</v>
      </c>
      <c r="B142" s="2" t="s">
        <v>199</v>
      </c>
      <c r="C142" s="2" t="s">
        <v>301</v>
      </c>
      <c r="D142" s="2">
        <v>91</v>
      </c>
      <c r="E142" s="3" t="s">
        <v>302</v>
      </c>
      <c r="F142" s="3" t="s">
        <v>310</v>
      </c>
      <c r="G142" s="3" t="s">
        <v>311</v>
      </c>
      <c r="H142" s="2" t="s">
        <v>305</v>
      </c>
      <c r="I142" s="4"/>
      <c r="J142" s="4"/>
      <c r="K142" s="4"/>
      <c r="L142" s="5"/>
      <c r="M142" s="3"/>
    </row>
    <row r="143" spans="1:13" x14ac:dyDescent="0.3">
      <c r="A143" s="2">
        <v>142</v>
      </c>
      <c r="B143" s="2" t="s">
        <v>199</v>
      </c>
      <c r="C143" s="2" t="s">
        <v>301</v>
      </c>
      <c r="D143" s="2">
        <v>101</v>
      </c>
      <c r="E143" s="3" t="s">
        <v>302</v>
      </c>
      <c r="F143" s="3" t="s">
        <v>312</v>
      </c>
      <c r="G143" s="3" t="s">
        <v>313</v>
      </c>
      <c r="H143" s="2" t="s">
        <v>305</v>
      </c>
      <c r="I143" s="4"/>
      <c r="J143" s="4"/>
      <c r="K143" s="4"/>
      <c r="L143" s="5"/>
      <c r="M143" s="3"/>
    </row>
    <row r="144" spans="1:13" ht="28.8" x14ac:dyDescent="0.3">
      <c r="A144" s="2">
        <v>143</v>
      </c>
      <c r="B144" s="2" t="s">
        <v>199</v>
      </c>
      <c r="C144" s="2" t="s">
        <v>301</v>
      </c>
      <c r="D144" s="2">
        <v>111</v>
      </c>
      <c r="E144" s="3" t="s">
        <v>302</v>
      </c>
      <c r="F144" s="3" t="s">
        <v>314</v>
      </c>
      <c r="G144" s="3" t="s">
        <v>315</v>
      </c>
      <c r="H144" s="2" t="s">
        <v>305</v>
      </c>
      <c r="I144" s="4"/>
      <c r="J144" s="4"/>
      <c r="K144" s="4"/>
      <c r="L144" s="5"/>
      <c r="M144" s="3"/>
    </row>
    <row r="145" spans="1:13" x14ac:dyDescent="0.3">
      <c r="A145" s="2">
        <v>144</v>
      </c>
      <c r="B145" s="2" t="s">
        <v>199</v>
      </c>
      <c r="C145" s="2" t="s">
        <v>301</v>
      </c>
      <c r="D145" s="2">
        <v>127</v>
      </c>
      <c r="E145" s="3" t="s">
        <v>302</v>
      </c>
      <c r="F145" s="3" t="s">
        <v>316</v>
      </c>
      <c r="G145" s="3" t="s">
        <v>317</v>
      </c>
      <c r="H145" s="2" t="s">
        <v>305</v>
      </c>
      <c r="I145" s="4"/>
      <c r="J145" s="4"/>
      <c r="K145" s="4"/>
      <c r="L145" s="5"/>
      <c r="M145" s="3"/>
    </row>
    <row r="146" spans="1:13" x14ac:dyDescent="0.3">
      <c r="A146" s="2">
        <v>145</v>
      </c>
      <c r="B146" s="2" t="s">
        <v>199</v>
      </c>
      <c r="C146" s="2" t="s">
        <v>301</v>
      </c>
      <c r="D146" s="2">
        <v>141</v>
      </c>
      <c r="E146" s="3" t="s">
        <v>302</v>
      </c>
      <c r="F146" s="3" t="s">
        <v>318</v>
      </c>
      <c r="G146" s="3" t="s">
        <v>319</v>
      </c>
      <c r="H146" s="2" t="s">
        <v>305</v>
      </c>
      <c r="I146" s="4"/>
      <c r="J146" s="4"/>
      <c r="K146" s="4"/>
      <c r="L146" s="5"/>
      <c r="M146" s="3"/>
    </row>
    <row r="147" spans="1:13" ht="28.8" x14ac:dyDescent="0.3">
      <c r="A147" s="2">
        <v>146</v>
      </c>
      <c r="B147" s="2" t="s">
        <v>199</v>
      </c>
      <c r="C147" s="2" t="s">
        <v>301</v>
      </c>
      <c r="D147" s="2">
        <v>150</v>
      </c>
      <c r="E147" s="3" t="s">
        <v>302</v>
      </c>
      <c r="F147" s="3" t="s">
        <v>320</v>
      </c>
      <c r="G147" s="3" t="s">
        <v>321</v>
      </c>
      <c r="H147" s="2" t="s">
        <v>305</v>
      </c>
      <c r="I147" s="4"/>
      <c r="J147" s="4"/>
      <c r="K147" s="4"/>
      <c r="L147" s="5"/>
      <c r="M147" s="3"/>
    </row>
    <row r="148" spans="1:13" ht="72" x14ac:dyDescent="0.3">
      <c r="A148" s="2">
        <v>147</v>
      </c>
      <c r="B148" s="2" t="s">
        <v>199</v>
      </c>
      <c r="C148" s="2" t="s">
        <v>301</v>
      </c>
      <c r="D148" s="2">
        <v>162</v>
      </c>
      <c r="E148" s="3" t="s">
        <v>302</v>
      </c>
      <c r="F148" s="3" t="s">
        <v>322</v>
      </c>
      <c r="G148" s="3" t="s">
        <v>323</v>
      </c>
      <c r="H148" s="2" t="s">
        <v>305</v>
      </c>
      <c r="I148" s="4"/>
      <c r="J148" s="4"/>
      <c r="K148" s="4"/>
      <c r="L148" s="5"/>
      <c r="M148" s="3"/>
    </row>
    <row r="149" spans="1:13" ht="43.2" x14ac:dyDescent="0.3">
      <c r="A149" s="2">
        <v>148</v>
      </c>
      <c r="B149" s="2" t="s">
        <v>199</v>
      </c>
      <c r="C149" s="2" t="s">
        <v>301</v>
      </c>
      <c r="D149" s="2">
        <v>174</v>
      </c>
      <c r="E149" s="3" t="s">
        <v>302</v>
      </c>
      <c r="F149" s="3" t="s">
        <v>324</v>
      </c>
      <c r="G149" s="3" t="s">
        <v>325</v>
      </c>
      <c r="H149" s="2" t="s">
        <v>305</v>
      </c>
      <c r="I149" s="4"/>
      <c r="J149" s="4"/>
      <c r="K149" s="4"/>
      <c r="L149" s="5"/>
      <c r="M149" s="3"/>
    </row>
    <row r="150" spans="1:13" ht="28.8" x14ac:dyDescent="0.3">
      <c r="A150" s="2">
        <v>149</v>
      </c>
      <c r="B150" s="2" t="s">
        <v>199</v>
      </c>
      <c r="C150" s="2" t="s">
        <v>301</v>
      </c>
      <c r="D150" s="2">
        <v>183</v>
      </c>
      <c r="E150" s="3" t="s">
        <v>302</v>
      </c>
      <c r="F150" s="3" t="s">
        <v>326</v>
      </c>
      <c r="G150" s="3" t="s">
        <v>327</v>
      </c>
      <c r="H150" s="2" t="s">
        <v>305</v>
      </c>
      <c r="I150" s="4"/>
      <c r="J150" s="4"/>
      <c r="K150" s="4"/>
      <c r="L150" s="5"/>
      <c r="M150" s="3"/>
    </row>
    <row r="151" spans="1:13" ht="43.2" x14ac:dyDescent="0.3">
      <c r="A151" s="2">
        <v>150</v>
      </c>
      <c r="B151" s="2" t="s">
        <v>199</v>
      </c>
      <c r="C151" s="2" t="s">
        <v>301</v>
      </c>
      <c r="D151" s="2">
        <v>198</v>
      </c>
      <c r="E151" s="3" t="s">
        <v>302</v>
      </c>
      <c r="F151" s="3" t="s">
        <v>328</v>
      </c>
      <c r="G151" s="3" t="s">
        <v>329</v>
      </c>
      <c r="H151" s="2" t="s">
        <v>305</v>
      </c>
      <c r="I151" s="4"/>
      <c r="J151" s="4"/>
      <c r="K151" s="4"/>
      <c r="L151" s="5"/>
      <c r="M151" s="3"/>
    </row>
    <row r="152" spans="1:13" ht="43.2" x14ac:dyDescent="0.3">
      <c r="A152" s="2">
        <v>151</v>
      </c>
      <c r="B152" s="2" t="s">
        <v>199</v>
      </c>
      <c r="C152" s="2" t="s">
        <v>301</v>
      </c>
      <c r="D152" s="2">
        <v>208</v>
      </c>
      <c r="E152" s="3" t="s">
        <v>302</v>
      </c>
      <c r="F152" s="3" t="s">
        <v>330</v>
      </c>
      <c r="G152" s="3" t="s">
        <v>331</v>
      </c>
      <c r="H152" s="2" t="s">
        <v>305</v>
      </c>
      <c r="I152" s="4"/>
      <c r="J152" s="4"/>
      <c r="K152" s="4"/>
      <c r="L152" s="5"/>
      <c r="M152" s="3"/>
    </row>
    <row r="153" spans="1:13" ht="72" x14ac:dyDescent="0.3">
      <c r="A153" s="2">
        <v>152</v>
      </c>
      <c r="B153" s="2" t="s">
        <v>199</v>
      </c>
      <c r="C153" s="2" t="s">
        <v>301</v>
      </c>
      <c r="D153" s="2">
        <v>222</v>
      </c>
      <c r="E153" s="3" t="s">
        <v>302</v>
      </c>
      <c r="F153" s="3" t="s">
        <v>332</v>
      </c>
      <c r="G153" s="3" t="s">
        <v>333</v>
      </c>
      <c r="H153" s="2" t="s">
        <v>305</v>
      </c>
      <c r="I153" s="4"/>
      <c r="J153" s="4"/>
      <c r="K153" s="4"/>
      <c r="L153" s="5"/>
      <c r="M153" s="3"/>
    </row>
    <row r="154" spans="1:13" ht="28.8" x14ac:dyDescent="0.3">
      <c r="A154" s="2">
        <v>153</v>
      </c>
      <c r="B154" s="2" t="s">
        <v>199</v>
      </c>
      <c r="C154" s="2" t="s">
        <v>301</v>
      </c>
      <c r="D154" s="2">
        <v>237</v>
      </c>
      <c r="E154" s="3" t="s">
        <v>302</v>
      </c>
      <c r="F154" s="3" t="s">
        <v>334</v>
      </c>
      <c r="G154" s="3" t="s">
        <v>335</v>
      </c>
      <c r="H154" s="2" t="s">
        <v>305</v>
      </c>
      <c r="I154" s="4"/>
      <c r="J154" s="4"/>
      <c r="K154" s="4"/>
      <c r="L154" s="5"/>
      <c r="M154" s="3"/>
    </row>
    <row r="155" spans="1:13" ht="57.6" x14ac:dyDescent="0.3">
      <c r="A155" s="2">
        <v>154</v>
      </c>
      <c r="B155" s="2" t="s">
        <v>199</v>
      </c>
      <c r="C155" s="2" t="s">
        <v>301</v>
      </c>
      <c r="D155" s="2">
        <v>243</v>
      </c>
      <c r="E155" s="3" t="s">
        <v>302</v>
      </c>
      <c r="F155" s="3" t="s">
        <v>336</v>
      </c>
      <c r="G155" s="3" t="s">
        <v>337</v>
      </c>
      <c r="H155" s="2" t="s">
        <v>305</v>
      </c>
      <c r="I155" s="4"/>
      <c r="J155" s="4"/>
      <c r="K155" s="4"/>
      <c r="L155" s="5"/>
      <c r="M155" s="3"/>
    </row>
    <row r="156" spans="1:13" x14ac:dyDescent="0.3">
      <c r="A156" s="2">
        <v>155</v>
      </c>
      <c r="B156" s="2" t="s">
        <v>199</v>
      </c>
      <c r="C156" s="2" t="s">
        <v>301</v>
      </c>
      <c r="D156" s="2">
        <v>258</v>
      </c>
      <c r="E156" s="3" t="s">
        <v>302</v>
      </c>
      <c r="F156" s="3" t="s">
        <v>338</v>
      </c>
      <c r="G156" s="3" t="s">
        <v>339</v>
      </c>
      <c r="H156" s="2" t="s">
        <v>305</v>
      </c>
      <c r="I156" s="4"/>
      <c r="J156" s="4"/>
      <c r="K156" s="4"/>
      <c r="L156" s="5"/>
      <c r="M156" s="3"/>
    </row>
    <row r="157" spans="1:13" ht="28.8" x14ac:dyDescent="0.3">
      <c r="A157" s="2">
        <v>156</v>
      </c>
      <c r="B157" s="2" t="s">
        <v>199</v>
      </c>
      <c r="C157" s="2" t="s">
        <v>301</v>
      </c>
      <c r="D157" s="2">
        <v>271</v>
      </c>
      <c r="E157" s="3" t="s">
        <v>302</v>
      </c>
      <c r="F157" s="3" t="s">
        <v>340</v>
      </c>
      <c r="G157" s="3" t="s">
        <v>341</v>
      </c>
      <c r="H157" s="2" t="s">
        <v>305</v>
      </c>
      <c r="I157" s="4"/>
      <c r="J157" s="4"/>
      <c r="K157" s="4"/>
      <c r="L157" s="5"/>
      <c r="M157" s="3"/>
    </row>
    <row r="158" spans="1:13" ht="28.8" x14ac:dyDescent="0.3">
      <c r="A158" s="2">
        <v>157</v>
      </c>
      <c r="B158" s="2" t="s">
        <v>199</v>
      </c>
      <c r="C158" s="2" t="s">
        <v>301</v>
      </c>
      <c r="D158" s="2">
        <v>279</v>
      </c>
      <c r="E158" s="3" t="s">
        <v>302</v>
      </c>
      <c r="F158" s="3" t="s">
        <v>342</v>
      </c>
      <c r="G158" s="3" t="s">
        <v>343</v>
      </c>
      <c r="H158" s="2" t="s">
        <v>305</v>
      </c>
      <c r="I158" s="4"/>
      <c r="J158" s="4"/>
      <c r="K158" s="4"/>
      <c r="L158" s="5"/>
      <c r="M158" s="3"/>
    </row>
    <row r="159" spans="1:13" ht="28.8" x14ac:dyDescent="0.3">
      <c r="A159" s="2">
        <v>158</v>
      </c>
      <c r="B159" s="2" t="s">
        <v>199</v>
      </c>
      <c r="C159" s="2" t="s">
        <v>301</v>
      </c>
      <c r="D159" s="2">
        <v>291</v>
      </c>
      <c r="E159" s="3" t="s">
        <v>302</v>
      </c>
      <c r="F159" s="3" t="s">
        <v>344</v>
      </c>
      <c r="G159" s="3" t="s">
        <v>345</v>
      </c>
      <c r="H159" s="2" t="s">
        <v>305</v>
      </c>
      <c r="I159" s="4"/>
      <c r="J159" s="4"/>
      <c r="K159" s="4"/>
      <c r="L159" s="5"/>
      <c r="M159" s="3"/>
    </row>
    <row r="160" spans="1:13" ht="28.8" x14ac:dyDescent="0.3">
      <c r="A160" s="2">
        <v>159</v>
      </c>
      <c r="B160" s="2" t="s">
        <v>199</v>
      </c>
      <c r="C160" s="2" t="s">
        <v>301</v>
      </c>
      <c r="D160" s="2">
        <v>303</v>
      </c>
      <c r="E160" s="3" t="s">
        <v>302</v>
      </c>
      <c r="F160" s="3" t="s">
        <v>346</v>
      </c>
      <c r="G160" s="3" t="s">
        <v>347</v>
      </c>
      <c r="H160" s="2" t="s">
        <v>305</v>
      </c>
      <c r="I160" s="4"/>
      <c r="J160" s="4"/>
      <c r="K160" s="4"/>
      <c r="L160" s="5"/>
      <c r="M160" s="3"/>
    </row>
    <row r="161" spans="1:13" x14ac:dyDescent="0.3">
      <c r="A161" s="2">
        <v>160</v>
      </c>
      <c r="B161" s="2" t="s">
        <v>199</v>
      </c>
      <c r="C161" s="2" t="s">
        <v>301</v>
      </c>
      <c r="D161" s="2">
        <v>326</v>
      </c>
      <c r="E161" s="3" t="s">
        <v>302</v>
      </c>
      <c r="F161" s="3" t="s">
        <v>348</v>
      </c>
      <c r="G161" s="3" t="s">
        <v>349</v>
      </c>
      <c r="H161" s="2" t="s">
        <v>305</v>
      </c>
      <c r="I161" s="4"/>
      <c r="J161" s="4"/>
      <c r="K161" s="4"/>
      <c r="L161" s="5"/>
      <c r="M161" s="3"/>
    </row>
    <row r="162" spans="1:13" ht="28.8" x14ac:dyDescent="0.3">
      <c r="A162" s="2">
        <v>161</v>
      </c>
      <c r="B162" s="2" t="s">
        <v>199</v>
      </c>
      <c r="C162" s="2" t="s">
        <v>301</v>
      </c>
      <c r="D162" s="2">
        <v>358</v>
      </c>
      <c r="E162" s="3" t="s">
        <v>302</v>
      </c>
      <c r="F162" s="3" t="s">
        <v>350</v>
      </c>
      <c r="G162" s="3" t="s">
        <v>351</v>
      </c>
      <c r="H162" s="2"/>
      <c r="I162" s="4"/>
      <c r="J162" s="4"/>
      <c r="K162" s="4"/>
      <c r="L162" s="5"/>
      <c r="M162" s="3"/>
    </row>
    <row r="163" spans="1:13" ht="72" x14ac:dyDescent="0.3">
      <c r="A163" s="2">
        <v>162</v>
      </c>
      <c r="B163" s="2" t="s">
        <v>199</v>
      </c>
      <c r="C163" s="2" t="s">
        <v>301</v>
      </c>
      <c r="D163" s="2">
        <v>358</v>
      </c>
      <c r="E163" s="3" t="s">
        <v>302</v>
      </c>
      <c r="F163" s="3" t="s">
        <v>352</v>
      </c>
      <c r="G163" s="3" t="s">
        <v>353</v>
      </c>
      <c r="H163" s="2"/>
      <c r="I163" s="4"/>
      <c r="J163" s="4"/>
      <c r="K163" s="4"/>
      <c r="L163" s="5"/>
      <c r="M163" s="3"/>
    </row>
    <row r="164" spans="1:13" ht="28.8" x14ac:dyDescent="0.3">
      <c r="A164" s="2">
        <v>163</v>
      </c>
      <c r="B164" s="2" t="s">
        <v>199</v>
      </c>
      <c r="C164" s="2" t="s">
        <v>301</v>
      </c>
      <c r="D164" s="2">
        <v>358</v>
      </c>
      <c r="E164" s="3" t="s">
        <v>302</v>
      </c>
      <c r="F164" s="3" t="s">
        <v>354</v>
      </c>
      <c r="G164" s="3" t="s">
        <v>355</v>
      </c>
      <c r="H164" s="2"/>
      <c r="I164" s="4"/>
      <c r="J164" s="4"/>
      <c r="K164" s="4"/>
      <c r="L164" s="5"/>
      <c r="M164" s="3"/>
    </row>
    <row r="165" spans="1:13" ht="28.8" x14ac:dyDescent="0.3">
      <c r="A165" s="2">
        <v>164</v>
      </c>
      <c r="B165" s="2" t="s">
        <v>199</v>
      </c>
      <c r="C165" s="2" t="s">
        <v>301</v>
      </c>
      <c r="D165" s="2">
        <v>358</v>
      </c>
      <c r="E165" s="3" t="s">
        <v>302</v>
      </c>
      <c r="F165" s="3" t="s">
        <v>356</v>
      </c>
      <c r="G165" s="3" t="s">
        <v>357</v>
      </c>
      <c r="H165" s="2"/>
      <c r="I165" s="4"/>
      <c r="J165" s="4"/>
      <c r="K165" s="4"/>
      <c r="L165" s="5"/>
      <c r="M165" s="3"/>
    </row>
    <row r="166" spans="1:13" ht="28.8" x14ac:dyDescent="0.3">
      <c r="A166" s="2">
        <v>165</v>
      </c>
      <c r="B166" s="2" t="s">
        <v>199</v>
      </c>
      <c r="C166" s="2" t="s">
        <v>301</v>
      </c>
      <c r="D166" s="2">
        <v>358</v>
      </c>
      <c r="E166" s="3" t="s">
        <v>302</v>
      </c>
      <c r="F166" s="3" t="s">
        <v>358</v>
      </c>
      <c r="G166" s="3" t="s">
        <v>359</v>
      </c>
      <c r="H166" s="2"/>
      <c r="I166" s="4"/>
      <c r="J166" s="4"/>
      <c r="K166" s="4"/>
      <c r="L166" s="5"/>
      <c r="M166" s="3"/>
    </row>
    <row r="167" spans="1:13" ht="28.8" x14ac:dyDescent="0.3">
      <c r="A167" s="2">
        <v>166</v>
      </c>
      <c r="B167" s="2" t="s">
        <v>199</v>
      </c>
      <c r="C167" s="2" t="s">
        <v>301</v>
      </c>
      <c r="D167" s="2">
        <v>358</v>
      </c>
      <c r="E167" s="3" t="s">
        <v>302</v>
      </c>
      <c r="F167" s="3" t="s">
        <v>360</v>
      </c>
      <c r="G167" s="3" t="s">
        <v>361</v>
      </c>
      <c r="H167" s="2"/>
      <c r="I167" s="4"/>
      <c r="J167" s="4"/>
      <c r="K167" s="4"/>
      <c r="L167" s="5"/>
      <c r="M167" s="3"/>
    </row>
    <row r="168" spans="1:13" ht="43.2" x14ac:dyDescent="0.3">
      <c r="A168" s="2">
        <v>167</v>
      </c>
      <c r="B168" s="2" t="s">
        <v>199</v>
      </c>
      <c r="C168" s="2" t="s">
        <v>301</v>
      </c>
      <c r="D168" s="2">
        <v>358</v>
      </c>
      <c r="E168" s="3" t="s">
        <v>302</v>
      </c>
      <c r="F168" s="3" t="s">
        <v>362</v>
      </c>
      <c r="G168" s="3" t="s">
        <v>363</v>
      </c>
      <c r="H168" s="2"/>
      <c r="I168" s="4"/>
      <c r="J168" s="4"/>
      <c r="K168" s="4"/>
      <c r="L168" s="5"/>
      <c r="M168" s="3"/>
    </row>
    <row r="169" spans="1:13" ht="28.8" x14ac:dyDescent="0.3">
      <c r="A169" s="2">
        <v>168</v>
      </c>
      <c r="B169" s="2" t="s">
        <v>199</v>
      </c>
      <c r="C169" s="2" t="s">
        <v>301</v>
      </c>
      <c r="D169" s="2">
        <v>358</v>
      </c>
      <c r="E169" s="3" t="s">
        <v>302</v>
      </c>
      <c r="F169" s="3" t="s">
        <v>364</v>
      </c>
      <c r="G169" s="3" t="s">
        <v>365</v>
      </c>
      <c r="H169" s="2"/>
      <c r="I169" s="4"/>
      <c r="J169" s="4"/>
      <c r="K169" s="4"/>
      <c r="L169" s="5"/>
      <c r="M169" s="3"/>
    </row>
    <row r="170" spans="1:13" ht="28.8" x14ac:dyDescent="0.3">
      <c r="A170" s="2">
        <v>169</v>
      </c>
      <c r="B170" s="2" t="s">
        <v>199</v>
      </c>
      <c r="C170" s="2" t="s">
        <v>301</v>
      </c>
      <c r="D170" s="2">
        <v>358</v>
      </c>
      <c r="E170" s="3" t="s">
        <v>302</v>
      </c>
      <c r="F170" s="3" t="s">
        <v>366</v>
      </c>
      <c r="G170" s="3" t="s">
        <v>367</v>
      </c>
      <c r="H170" s="2"/>
      <c r="I170" s="4"/>
      <c r="J170" s="4"/>
      <c r="K170" s="4"/>
      <c r="L170" s="5"/>
      <c r="M170" s="3"/>
    </row>
    <row r="171" spans="1:13" ht="28.8" x14ac:dyDescent="0.3">
      <c r="A171" s="2">
        <v>170</v>
      </c>
      <c r="B171" s="2" t="s">
        <v>199</v>
      </c>
      <c r="C171" s="2" t="s">
        <v>301</v>
      </c>
      <c r="D171" s="2">
        <v>358</v>
      </c>
      <c r="E171" s="3" t="s">
        <v>302</v>
      </c>
      <c r="F171" s="3" t="s">
        <v>368</v>
      </c>
      <c r="G171" s="3" t="s">
        <v>369</v>
      </c>
      <c r="H171" s="2"/>
      <c r="I171" s="4"/>
      <c r="J171" s="4"/>
      <c r="K171" s="4"/>
      <c r="L171" s="5"/>
      <c r="M171" s="3"/>
    </row>
    <row r="172" spans="1:13" ht="28.8" x14ac:dyDescent="0.3">
      <c r="A172" s="2">
        <v>171</v>
      </c>
      <c r="B172" s="2" t="s">
        <v>199</v>
      </c>
      <c r="C172" s="2" t="s">
        <v>301</v>
      </c>
      <c r="D172" s="2">
        <v>358</v>
      </c>
      <c r="E172" s="3" t="s">
        <v>302</v>
      </c>
      <c r="F172" s="3" t="s">
        <v>370</v>
      </c>
      <c r="G172" s="3" t="s">
        <v>371</v>
      </c>
      <c r="H172" s="2"/>
      <c r="I172" s="4"/>
      <c r="J172" s="4"/>
      <c r="K172" s="4"/>
      <c r="L172" s="5"/>
      <c r="M172" s="3"/>
    </row>
    <row r="173" spans="1:13" ht="28.8" x14ac:dyDescent="0.3">
      <c r="A173" s="2">
        <v>172</v>
      </c>
      <c r="B173" s="2" t="s">
        <v>199</v>
      </c>
      <c r="C173" s="2" t="s">
        <v>301</v>
      </c>
      <c r="D173" s="2">
        <v>358</v>
      </c>
      <c r="E173" s="3" t="s">
        <v>302</v>
      </c>
      <c r="F173" s="3" t="s">
        <v>372</v>
      </c>
      <c r="G173" s="3" t="s">
        <v>373</v>
      </c>
      <c r="H173" s="2"/>
      <c r="I173" s="4"/>
      <c r="J173" s="4"/>
      <c r="K173" s="4"/>
      <c r="L173" s="5"/>
      <c r="M173" s="3"/>
    </row>
    <row r="174" spans="1:13" ht="28.8" x14ac:dyDescent="0.3">
      <c r="A174" s="2">
        <v>173</v>
      </c>
      <c r="B174" s="2" t="s">
        <v>199</v>
      </c>
      <c r="C174" s="2" t="s">
        <v>301</v>
      </c>
      <c r="D174" s="2">
        <v>358</v>
      </c>
      <c r="E174" s="3" t="s">
        <v>302</v>
      </c>
      <c r="F174" s="3" t="s">
        <v>374</v>
      </c>
      <c r="G174" s="3" t="s">
        <v>375</v>
      </c>
      <c r="H174" s="2"/>
      <c r="I174" s="4"/>
      <c r="J174" s="4"/>
      <c r="K174" s="4"/>
      <c r="L174" s="5"/>
      <c r="M174" s="3"/>
    </row>
    <row r="175" spans="1:13" ht="43.2" x14ac:dyDescent="0.3">
      <c r="A175" s="2">
        <v>174</v>
      </c>
      <c r="B175" s="2" t="s">
        <v>199</v>
      </c>
      <c r="C175" s="2" t="s">
        <v>301</v>
      </c>
      <c r="D175" s="2">
        <v>358</v>
      </c>
      <c r="E175" s="3" t="s">
        <v>302</v>
      </c>
      <c r="F175" s="3" t="s">
        <v>376</v>
      </c>
      <c r="G175" s="3" t="s">
        <v>377</v>
      </c>
      <c r="H175" s="2"/>
      <c r="I175" s="4"/>
      <c r="J175" s="4"/>
      <c r="K175" s="4"/>
      <c r="L175" s="5"/>
      <c r="M175" s="3"/>
    </row>
    <row r="176" spans="1:13" ht="28.8" x14ac:dyDescent="0.3">
      <c r="A176" s="2">
        <v>175</v>
      </c>
      <c r="B176" s="2" t="s">
        <v>199</v>
      </c>
      <c r="C176" s="2" t="s">
        <v>301</v>
      </c>
      <c r="D176" s="2">
        <v>358</v>
      </c>
      <c r="E176" s="3" t="s">
        <v>302</v>
      </c>
      <c r="F176" s="3" t="s">
        <v>378</v>
      </c>
      <c r="G176" s="3" t="s">
        <v>379</v>
      </c>
      <c r="H176" s="2"/>
      <c r="I176" s="4"/>
      <c r="J176" s="4"/>
      <c r="K176" s="4"/>
      <c r="L176" s="5"/>
      <c r="M176" s="3"/>
    </row>
    <row r="177" spans="1:13" ht="28.8" x14ac:dyDescent="0.3">
      <c r="A177" s="2">
        <v>176</v>
      </c>
      <c r="B177" s="2" t="s">
        <v>199</v>
      </c>
      <c r="C177" s="2" t="s">
        <v>301</v>
      </c>
      <c r="D177" s="2">
        <v>358</v>
      </c>
      <c r="E177" s="3" t="s">
        <v>302</v>
      </c>
      <c r="F177" s="3" t="s">
        <v>380</v>
      </c>
      <c r="G177" s="3" t="s">
        <v>381</v>
      </c>
      <c r="H177" s="2"/>
      <c r="I177" s="4"/>
      <c r="J177" s="4"/>
      <c r="K177" s="4"/>
      <c r="L177" s="5"/>
      <c r="M177" s="3"/>
    </row>
    <row r="178" spans="1:13" ht="28.8" x14ac:dyDescent="0.3">
      <c r="A178" s="2">
        <v>177</v>
      </c>
      <c r="B178" s="2" t="s">
        <v>199</v>
      </c>
      <c r="C178" s="2" t="s">
        <v>301</v>
      </c>
      <c r="D178" s="2">
        <v>358</v>
      </c>
      <c r="E178" s="3" t="s">
        <v>302</v>
      </c>
      <c r="F178" s="3" t="s">
        <v>382</v>
      </c>
      <c r="G178" s="3" t="s">
        <v>383</v>
      </c>
      <c r="H178" s="2"/>
      <c r="I178" s="4"/>
      <c r="J178" s="4"/>
      <c r="K178" s="4"/>
      <c r="L178" s="5"/>
      <c r="M178" s="3"/>
    </row>
    <row r="179" spans="1:13" ht="43.2" x14ac:dyDescent="0.3">
      <c r="A179" s="2">
        <v>178</v>
      </c>
      <c r="B179" s="2" t="s">
        <v>199</v>
      </c>
      <c r="C179" s="2" t="s">
        <v>384</v>
      </c>
      <c r="D179" s="2">
        <v>50</v>
      </c>
      <c r="E179" s="3" t="s">
        <v>385</v>
      </c>
      <c r="F179" s="3" t="s">
        <v>386</v>
      </c>
      <c r="G179" s="3" t="s">
        <v>387</v>
      </c>
      <c r="H179" s="2" t="s">
        <v>388</v>
      </c>
      <c r="I179" s="4"/>
      <c r="J179" s="4"/>
      <c r="K179" s="4"/>
      <c r="L179" s="5"/>
      <c r="M179" s="3"/>
    </row>
    <row r="180" spans="1:13" ht="57.6" x14ac:dyDescent="0.3">
      <c r="A180" s="2">
        <v>179</v>
      </c>
      <c r="B180" s="2" t="s">
        <v>199</v>
      </c>
      <c r="C180" s="2" t="s">
        <v>384</v>
      </c>
      <c r="D180" s="2">
        <v>58</v>
      </c>
      <c r="E180" s="3" t="s">
        <v>385</v>
      </c>
      <c r="F180" s="3" t="s">
        <v>389</v>
      </c>
      <c r="G180" s="3" t="s">
        <v>390</v>
      </c>
      <c r="H180" s="2" t="s">
        <v>388</v>
      </c>
      <c r="I180" s="4"/>
      <c r="J180" s="4"/>
      <c r="K180" s="4"/>
      <c r="L180" s="5"/>
      <c r="M180" s="3"/>
    </row>
    <row r="181" spans="1:13" ht="28.8" x14ac:dyDescent="0.3">
      <c r="A181" s="2">
        <v>180</v>
      </c>
      <c r="B181" s="2" t="s">
        <v>199</v>
      </c>
      <c r="C181" s="2" t="s">
        <v>384</v>
      </c>
      <c r="D181" s="2">
        <v>81</v>
      </c>
      <c r="E181" s="3" t="s">
        <v>385</v>
      </c>
      <c r="F181" s="3" t="s">
        <v>391</v>
      </c>
      <c r="G181" s="3" t="s">
        <v>392</v>
      </c>
      <c r="H181" s="2" t="s">
        <v>388</v>
      </c>
      <c r="I181" s="4"/>
      <c r="J181" s="4"/>
      <c r="K181" s="4"/>
      <c r="L181" s="5"/>
      <c r="M181" s="3"/>
    </row>
    <row r="182" spans="1:13" x14ac:dyDescent="0.3">
      <c r="A182" s="2">
        <v>181</v>
      </c>
      <c r="B182" s="2" t="s">
        <v>199</v>
      </c>
      <c r="C182" s="2" t="s">
        <v>384</v>
      </c>
      <c r="D182" s="2">
        <v>95</v>
      </c>
      <c r="E182" s="3" t="s">
        <v>385</v>
      </c>
      <c r="F182" s="3" t="s">
        <v>393</v>
      </c>
      <c r="G182" s="3" t="s">
        <v>394</v>
      </c>
      <c r="H182" s="2" t="s">
        <v>388</v>
      </c>
      <c r="I182" s="4"/>
      <c r="J182" s="4"/>
      <c r="K182" s="4"/>
      <c r="L182" s="5"/>
      <c r="M182" s="3"/>
    </row>
    <row r="183" spans="1:13" x14ac:dyDescent="0.3">
      <c r="A183" s="2">
        <v>182</v>
      </c>
      <c r="B183" s="2" t="s">
        <v>199</v>
      </c>
      <c r="C183" s="2" t="s">
        <v>384</v>
      </c>
      <c r="D183" s="2">
        <v>107</v>
      </c>
      <c r="E183" s="3" t="s">
        <v>385</v>
      </c>
      <c r="F183" s="3" t="s">
        <v>395</v>
      </c>
      <c r="G183" s="3" t="s">
        <v>396</v>
      </c>
      <c r="H183" s="2" t="s">
        <v>388</v>
      </c>
      <c r="I183" s="4"/>
      <c r="J183" s="4"/>
      <c r="K183" s="4"/>
      <c r="L183" s="5"/>
      <c r="M183" s="3"/>
    </row>
    <row r="184" spans="1:13" ht="28.8" x14ac:dyDescent="0.3">
      <c r="A184" s="2">
        <v>183</v>
      </c>
      <c r="B184" s="2" t="s">
        <v>199</v>
      </c>
      <c r="C184" s="2" t="s">
        <v>384</v>
      </c>
      <c r="D184" s="2">
        <v>119</v>
      </c>
      <c r="E184" s="3" t="s">
        <v>385</v>
      </c>
      <c r="F184" s="3" t="s">
        <v>397</v>
      </c>
      <c r="G184" s="3" t="s">
        <v>398</v>
      </c>
      <c r="H184" s="2" t="s">
        <v>388</v>
      </c>
      <c r="I184" s="4"/>
      <c r="J184" s="4"/>
      <c r="K184" s="4"/>
      <c r="L184" s="5"/>
      <c r="M184" s="3"/>
    </row>
    <row r="185" spans="1:13" ht="43.2" x14ac:dyDescent="0.3">
      <c r="A185" s="2">
        <v>184</v>
      </c>
      <c r="B185" s="2" t="s">
        <v>199</v>
      </c>
      <c r="C185" s="2" t="s">
        <v>384</v>
      </c>
      <c r="D185" s="2">
        <v>131</v>
      </c>
      <c r="E185" s="3" t="s">
        <v>385</v>
      </c>
      <c r="F185" s="3" t="s">
        <v>399</v>
      </c>
      <c r="G185" s="3" t="s">
        <v>400</v>
      </c>
      <c r="H185" s="2" t="s">
        <v>388</v>
      </c>
      <c r="I185" s="4"/>
      <c r="J185" s="4"/>
      <c r="K185" s="4"/>
      <c r="L185" s="5"/>
      <c r="M185" s="3"/>
    </row>
    <row r="186" spans="1:13" ht="43.2" x14ac:dyDescent="0.3">
      <c r="A186" s="2">
        <v>185</v>
      </c>
      <c r="B186" s="2" t="s">
        <v>199</v>
      </c>
      <c r="C186" s="2" t="s">
        <v>384</v>
      </c>
      <c r="D186" s="2">
        <v>147</v>
      </c>
      <c r="E186" s="3" t="s">
        <v>385</v>
      </c>
      <c r="F186" s="3" t="s">
        <v>401</v>
      </c>
      <c r="G186" s="3" t="s">
        <v>402</v>
      </c>
      <c r="H186" s="2" t="s">
        <v>388</v>
      </c>
      <c r="I186" s="4"/>
      <c r="J186" s="4"/>
      <c r="K186" s="4"/>
      <c r="L186" s="5"/>
      <c r="M186" s="3"/>
    </row>
    <row r="187" spans="1:13" ht="28.8" x14ac:dyDescent="0.3">
      <c r="A187" s="2">
        <v>186</v>
      </c>
      <c r="B187" s="2" t="s">
        <v>199</v>
      </c>
      <c r="C187" s="2" t="s">
        <v>384</v>
      </c>
      <c r="D187" s="2">
        <v>156</v>
      </c>
      <c r="E187" s="3" t="s">
        <v>385</v>
      </c>
      <c r="F187" s="3" t="s">
        <v>403</v>
      </c>
      <c r="G187" s="3" t="s">
        <v>404</v>
      </c>
      <c r="H187" s="2" t="s">
        <v>388</v>
      </c>
      <c r="I187" s="4"/>
      <c r="J187" s="4"/>
      <c r="K187" s="4"/>
      <c r="L187" s="5"/>
      <c r="M187" s="3"/>
    </row>
    <row r="188" spans="1:13" ht="28.8" x14ac:dyDescent="0.3">
      <c r="A188" s="2">
        <v>187</v>
      </c>
      <c r="B188" s="2" t="s">
        <v>199</v>
      </c>
      <c r="C188" s="2" t="s">
        <v>384</v>
      </c>
      <c r="D188" s="2">
        <v>166</v>
      </c>
      <c r="E188" s="3" t="s">
        <v>385</v>
      </c>
      <c r="F188" s="3" t="s">
        <v>405</v>
      </c>
      <c r="G188" s="3" t="s">
        <v>406</v>
      </c>
      <c r="H188" s="2" t="s">
        <v>388</v>
      </c>
      <c r="I188" s="4"/>
      <c r="J188" s="4"/>
      <c r="K188" s="4"/>
      <c r="L188" s="5"/>
      <c r="M188" s="3"/>
    </row>
    <row r="189" spans="1:13" ht="28.8" x14ac:dyDescent="0.3">
      <c r="A189" s="2">
        <v>188</v>
      </c>
      <c r="B189" s="2" t="s">
        <v>199</v>
      </c>
      <c r="C189" s="2" t="s">
        <v>384</v>
      </c>
      <c r="D189" s="2">
        <v>185</v>
      </c>
      <c r="E189" s="3" t="s">
        <v>385</v>
      </c>
      <c r="F189" s="3" t="s">
        <v>407</v>
      </c>
      <c r="G189" s="3" t="s">
        <v>408</v>
      </c>
      <c r="H189" s="2" t="s">
        <v>388</v>
      </c>
      <c r="I189" s="4"/>
      <c r="J189" s="4"/>
      <c r="K189" s="4"/>
      <c r="L189" s="5"/>
      <c r="M189" s="3"/>
    </row>
    <row r="190" spans="1:13" ht="43.2" x14ac:dyDescent="0.3">
      <c r="A190" s="2">
        <v>189</v>
      </c>
      <c r="B190" s="2" t="s">
        <v>199</v>
      </c>
      <c r="C190" s="2" t="s">
        <v>384</v>
      </c>
      <c r="D190" s="2">
        <v>193</v>
      </c>
      <c r="E190" s="3" t="s">
        <v>385</v>
      </c>
      <c r="F190" s="3" t="s">
        <v>409</v>
      </c>
      <c r="G190" s="3" t="s">
        <v>410</v>
      </c>
      <c r="H190" s="2" t="s">
        <v>388</v>
      </c>
      <c r="I190" s="4"/>
      <c r="J190" s="4"/>
      <c r="K190" s="4"/>
      <c r="L190" s="5"/>
      <c r="M190" s="3"/>
    </row>
    <row r="191" spans="1:13" x14ac:dyDescent="0.3">
      <c r="A191" s="2">
        <v>190</v>
      </c>
      <c r="B191" s="2" t="s">
        <v>199</v>
      </c>
      <c r="C191" s="2" t="s">
        <v>384</v>
      </c>
      <c r="D191" s="2">
        <v>210</v>
      </c>
      <c r="E191" s="3" t="s">
        <v>385</v>
      </c>
      <c r="F191" s="3" t="s">
        <v>411</v>
      </c>
      <c r="G191" s="3" t="s">
        <v>412</v>
      </c>
      <c r="H191" s="2" t="s">
        <v>388</v>
      </c>
      <c r="I191" s="4"/>
      <c r="J191" s="4"/>
      <c r="K191" s="4"/>
      <c r="L191" s="5"/>
      <c r="M191" s="3"/>
    </row>
    <row r="192" spans="1:13" ht="57.6" x14ac:dyDescent="0.3">
      <c r="A192" s="2">
        <v>191</v>
      </c>
      <c r="B192" s="2" t="s">
        <v>199</v>
      </c>
      <c r="C192" s="2" t="s">
        <v>384</v>
      </c>
      <c r="D192" s="2">
        <v>218</v>
      </c>
      <c r="E192" s="3" t="s">
        <v>385</v>
      </c>
      <c r="F192" s="3" t="s">
        <v>413</v>
      </c>
      <c r="G192" s="3" t="s">
        <v>414</v>
      </c>
      <c r="H192" s="2" t="s">
        <v>388</v>
      </c>
      <c r="I192" s="4"/>
      <c r="J192" s="4"/>
      <c r="K192" s="4"/>
      <c r="L192" s="5"/>
      <c r="M192" s="3"/>
    </row>
    <row r="193" spans="1:13" ht="28.8" x14ac:dyDescent="0.3">
      <c r="A193" s="2">
        <v>192</v>
      </c>
      <c r="B193" s="2" t="s">
        <v>199</v>
      </c>
      <c r="C193" s="2" t="s">
        <v>384</v>
      </c>
      <c r="D193" s="2">
        <v>226</v>
      </c>
      <c r="E193" s="3" t="s">
        <v>385</v>
      </c>
      <c r="F193" s="3" t="s">
        <v>415</v>
      </c>
      <c r="G193" s="3" t="s">
        <v>416</v>
      </c>
      <c r="H193" s="2" t="s">
        <v>388</v>
      </c>
      <c r="I193" s="4"/>
      <c r="J193" s="4"/>
      <c r="K193" s="4"/>
      <c r="L193" s="5"/>
      <c r="M193" s="3"/>
    </row>
    <row r="194" spans="1:13" ht="28.8" x14ac:dyDescent="0.3">
      <c r="A194" s="2">
        <v>193</v>
      </c>
      <c r="B194" s="2" t="s">
        <v>199</v>
      </c>
      <c r="C194" s="2" t="s">
        <v>384</v>
      </c>
      <c r="D194" s="2">
        <v>233</v>
      </c>
      <c r="E194" s="3" t="s">
        <v>385</v>
      </c>
      <c r="F194" s="3" t="s">
        <v>417</v>
      </c>
      <c r="G194" s="3" t="s">
        <v>418</v>
      </c>
      <c r="H194" s="2" t="s">
        <v>388</v>
      </c>
      <c r="I194" s="4"/>
      <c r="J194" s="4"/>
      <c r="K194" s="4"/>
      <c r="L194" s="5"/>
      <c r="M194" s="3"/>
    </row>
    <row r="195" spans="1:13" ht="28.8" x14ac:dyDescent="0.3">
      <c r="A195" s="2">
        <v>194</v>
      </c>
      <c r="B195" s="2" t="s">
        <v>199</v>
      </c>
      <c r="C195" s="2" t="s">
        <v>384</v>
      </c>
      <c r="D195" s="2">
        <v>240</v>
      </c>
      <c r="E195" s="3" t="s">
        <v>385</v>
      </c>
      <c r="F195" s="3" t="s">
        <v>419</v>
      </c>
      <c r="G195" s="3" t="s">
        <v>420</v>
      </c>
      <c r="H195" s="2" t="s">
        <v>388</v>
      </c>
      <c r="I195" s="4"/>
      <c r="J195" s="4"/>
      <c r="K195" s="4"/>
      <c r="L195" s="5"/>
      <c r="M195" s="3"/>
    </row>
    <row r="196" spans="1:13" ht="28.8" x14ac:dyDescent="0.3">
      <c r="A196" s="2">
        <v>195</v>
      </c>
      <c r="B196" s="2" t="s">
        <v>199</v>
      </c>
      <c r="C196" s="2" t="s">
        <v>384</v>
      </c>
      <c r="D196" s="2">
        <v>249</v>
      </c>
      <c r="E196" s="3" t="s">
        <v>385</v>
      </c>
      <c r="F196" s="3" t="s">
        <v>421</v>
      </c>
      <c r="G196" s="3" t="s">
        <v>422</v>
      </c>
      <c r="H196" s="2" t="s">
        <v>388</v>
      </c>
      <c r="I196" s="4"/>
      <c r="J196" s="4"/>
      <c r="K196" s="4"/>
      <c r="L196" s="5"/>
      <c r="M196" s="3"/>
    </row>
    <row r="197" spans="1:13" x14ac:dyDescent="0.3">
      <c r="A197" s="2">
        <v>196</v>
      </c>
      <c r="B197" s="2" t="s">
        <v>199</v>
      </c>
      <c r="C197" s="2" t="s">
        <v>384</v>
      </c>
      <c r="D197" s="2">
        <v>260</v>
      </c>
      <c r="E197" s="3" t="s">
        <v>385</v>
      </c>
      <c r="F197" s="3" t="s">
        <v>423</v>
      </c>
      <c r="G197" s="3" t="s">
        <v>424</v>
      </c>
      <c r="H197" s="2" t="s">
        <v>388</v>
      </c>
      <c r="I197" s="4"/>
      <c r="J197" s="4"/>
      <c r="K197" s="4"/>
      <c r="L197" s="5"/>
      <c r="M197" s="3"/>
    </row>
    <row r="198" spans="1:13" ht="43.2" x14ac:dyDescent="0.3">
      <c r="A198" s="2">
        <v>197</v>
      </c>
      <c r="B198" s="2" t="s">
        <v>199</v>
      </c>
      <c r="C198" s="2" t="s">
        <v>384</v>
      </c>
      <c r="D198" s="2">
        <v>286</v>
      </c>
      <c r="E198" s="3" t="s">
        <v>385</v>
      </c>
      <c r="F198" s="3" t="s">
        <v>425</v>
      </c>
      <c r="G198" s="3" t="s">
        <v>426</v>
      </c>
      <c r="H198" s="2"/>
      <c r="I198" s="4"/>
      <c r="J198" s="4"/>
      <c r="K198" s="4"/>
      <c r="L198" s="5"/>
      <c r="M198" s="3"/>
    </row>
    <row r="199" spans="1:13" ht="43.2" x14ac:dyDescent="0.3">
      <c r="A199" s="2">
        <v>198</v>
      </c>
      <c r="B199" s="2" t="s">
        <v>199</v>
      </c>
      <c r="C199" s="2" t="s">
        <v>384</v>
      </c>
      <c r="D199" s="2">
        <v>286</v>
      </c>
      <c r="E199" s="3" t="s">
        <v>385</v>
      </c>
      <c r="F199" s="3" t="s">
        <v>427</v>
      </c>
      <c r="G199" s="3" t="s">
        <v>428</v>
      </c>
      <c r="H199" s="2"/>
      <c r="I199" s="4"/>
      <c r="J199" s="4"/>
      <c r="K199" s="4"/>
      <c r="L199" s="5"/>
      <c r="M199" s="3"/>
    </row>
    <row r="200" spans="1:13" ht="28.8" x14ac:dyDescent="0.3">
      <c r="A200" s="2">
        <v>199</v>
      </c>
      <c r="B200" s="2" t="s">
        <v>199</v>
      </c>
      <c r="C200" s="2" t="s">
        <v>384</v>
      </c>
      <c r="D200" s="2">
        <v>286</v>
      </c>
      <c r="E200" s="3" t="s">
        <v>385</v>
      </c>
      <c r="F200" s="3" t="s">
        <v>429</v>
      </c>
      <c r="G200" s="3" t="s">
        <v>430</v>
      </c>
      <c r="H200" s="2"/>
      <c r="I200" s="4"/>
      <c r="J200" s="4"/>
      <c r="K200" s="4"/>
      <c r="L200" s="5"/>
      <c r="M200" s="3"/>
    </row>
    <row r="201" spans="1:13" ht="28.8" x14ac:dyDescent="0.3">
      <c r="A201" s="2">
        <v>200</v>
      </c>
      <c r="B201" s="2" t="s">
        <v>199</v>
      </c>
      <c r="C201" s="2" t="s">
        <v>384</v>
      </c>
      <c r="D201" s="2">
        <v>286</v>
      </c>
      <c r="E201" s="3" t="s">
        <v>385</v>
      </c>
      <c r="F201" s="3" t="s">
        <v>431</v>
      </c>
      <c r="G201" s="3" t="s">
        <v>432</v>
      </c>
      <c r="H201" s="2"/>
      <c r="I201" s="4"/>
      <c r="J201" s="4"/>
      <c r="K201" s="4"/>
      <c r="L201" s="5"/>
      <c r="M201" s="3"/>
    </row>
    <row r="202" spans="1:13" ht="43.2" x14ac:dyDescent="0.3">
      <c r="A202" s="2">
        <v>201</v>
      </c>
      <c r="B202" s="2" t="s">
        <v>199</v>
      </c>
      <c r="C202" s="2" t="s">
        <v>384</v>
      </c>
      <c r="D202" s="2">
        <v>286</v>
      </c>
      <c r="E202" s="3" t="s">
        <v>385</v>
      </c>
      <c r="F202" s="3" t="s">
        <v>433</v>
      </c>
      <c r="G202" s="3" t="s">
        <v>434</v>
      </c>
      <c r="H202" s="2"/>
      <c r="I202" s="4"/>
      <c r="J202" s="4"/>
      <c r="K202" s="4"/>
      <c r="L202" s="5"/>
      <c r="M202" s="3"/>
    </row>
    <row r="203" spans="1:13" ht="43.2" x14ac:dyDescent="0.3">
      <c r="A203" s="2">
        <v>202</v>
      </c>
      <c r="B203" s="2" t="s">
        <v>199</v>
      </c>
      <c r="C203" s="2" t="s">
        <v>384</v>
      </c>
      <c r="D203" s="2">
        <v>286</v>
      </c>
      <c r="E203" s="3" t="s">
        <v>385</v>
      </c>
      <c r="F203" s="3" t="s">
        <v>435</v>
      </c>
      <c r="G203" s="3" t="s">
        <v>436</v>
      </c>
      <c r="H203" s="2"/>
      <c r="I203" s="4"/>
      <c r="J203" s="4"/>
      <c r="K203" s="4"/>
      <c r="L203" s="5"/>
      <c r="M203" s="3"/>
    </row>
    <row r="204" spans="1:13" x14ac:dyDescent="0.3">
      <c r="A204" s="2">
        <v>203</v>
      </c>
      <c r="B204" s="2" t="s">
        <v>199</v>
      </c>
      <c r="C204" s="2" t="s">
        <v>384</v>
      </c>
      <c r="D204" s="2">
        <v>286</v>
      </c>
      <c r="E204" s="3" t="s">
        <v>385</v>
      </c>
      <c r="F204" s="3" t="s">
        <v>437</v>
      </c>
      <c r="G204" s="3" t="s">
        <v>438</v>
      </c>
      <c r="H204" s="2"/>
      <c r="I204" s="4"/>
      <c r="J204" s="4"/>
      <c r="K204" s="4"/>
      <c r="L204" s="5"/>
      <c r="M204" s="3"/>
    </row>
    <row r="205" spans="1:13" x14ac:dyDescent="0.3">
      <c r="A205" s="2">
        <v>204</v>
      </c>
      <c r="B205" s="2" t="s">
        <v>199</v>
      </c>
      <c r="C205" s="2" t="s">
        <v>384</v>
      </c>
      <c r="D205" s="2">
        <v>286</v>
      </c>
      <c r="E205" s="3" t="s">
        <v>385</v>
      </c>
      <c r="F205" s="3" t="s">
        <v>439</v>
      </c>
      <c r="G205" s="3" t="s">
        <v>440</v>
      </c>
      <c r="H205" s="2"/>
      <c r="I205" s="4"/>
      <c r="J205" s="4"/>
      <c r="K205" s="4"/>
      <c r="L205" s="5"/>
      <c r="M205" s="3"/>
    </row>
    <row r="206" spans="1:13" x14ac:dyDescent="0.3">
      <c r="A206" s="2">
        <v>205</v>
      </c>
      <c r="B206" s="2" t="s">
        <v>199</v>
      </c>
      <c r="C206" s="2" t="s">
        <v>384</v>
      </c>
      <c r="D206" s="2">
        <v>286</v>
      </c>
      <c r="E206" s="3" t="s">
        <v>385</v>
      </c>
      <c r="F206" s="3" t="s">
        <v>441</v>
      </c>
      <c r="G206" s="3" t="s">
        <v>442</v>
      </c>
      <c r="H206" s="2"/>
      <c r="I206" s="4"/>
      <c r="J206" s="4"/>
      <c r="K206" s="4"/>
      <c r="L206" s="5"/>
      <c r="M206" s="3"/>
    </row>
    <row r="207" spans="1:13" ht="28.8" x14ac:dyDescent="0.3">
      <c r="A207" s="2">
        <v>206</v>
      </c>
      <c r="B207" s="2" t="s">
        <v>199</v>
      </c>
      <c r="C207" s="2" t="s">
        <v>384</v>
      </c>
      <c r="D207" s="2">
        <v>286</v>
      </c>
      <c r="E207" s="3" t="s">
        <v>385</v>
      </c>
      <c r="F207" s="3" t="s">
        <v>443</v>
      </c>
      <c r="G207" s="3" t="s">
        <v>444</v>
      </c>
      <c r="H207" s="2"/>
      <c r="I207" s="4"/>
      <c r="J207" s="4"/>
      <c r="K207" s="4"/>
      <c r="L207" s="5"/>
      <c r="M207" s="3"/>
    </row>
    <row r="208" spans="1:13" ht="28.8" x14ac:dyDescent="0.3">
      <c r="A208" s="2">
        <v>207</v>
      </c>
      <c r="B208" s="2" t="s">
        <v>199</v>
      </c>
      <c r="C208" s="2" t="s">
        <v>384</v>
      </c>
      <c r="D208" s="2">
        <v>286</v>
      </c>
      <c r="E208" s="3" t="s">
        <v>385</v>
      </c>
      <c r="F208" s="3" t="s">
        <v>445</v>
      </c>
      <c r="G208" s="3" t="s">
        <v>446</v>
      </c>
      <c r="H208" s="2"/>
      <c r="I208" s="4"/>
      <c r="J208" s="4"/>
      <c r="K208" s="4"/>
      <c r="L208" s="5"/>
      <c r="M208" s="3"/>
    </row>
    <row r="209" spans="1:13" ht="28.8" x14ac:dyDescent="0.3">
      <c r="A209" s="2">
        <v>208</v>
      </c>
      <c r="B209" s="2" t="s">
        <v>199</v>
      </c>
      <c r="C209" s="2" t="s">
        <v>384</v>
      </c>
      <c r="D209" s="2">
        <v>286</v>
      </c>
      <c r="E209" s="3" t="s">
        <v>385</v>
      </c>
      <c r="F209" s="3" t="s">
        <v>447</v>
      </c>
      <c r="G209" s="3" t="s">
        <v>448</v>
      </c>
      <c r="H209" s="2"/>
      <c r="I209" s="4"/>
      <c r="J209" s="4"/>
      <c r="K209" s="4"/>
      <c r="L209" s="5"/>
      <c r="M209" s="3"/>
    </row>
    <row r="210" spans="1:13" ht="28.8" x14ac:dyDescent="0.3">
      <c r="A210" s="2">
        <v>209</v>
      </c>
      <c r="B210" s="2" t="s">
        <v>199</v>
      </c>
      <c r="C210" s="2" t="s">
        <v>449</v>
      </c>
      <c r="D210" s="2">
        <v>33</v>
      </c>
      <c r="E210" s="3" t="s">
        <v>450</v>
      </c>
      <c r="F210" s="3" t="s">
        <v>451</v>
      </c>
      <c r="G210" s="3" t="s">
        <v>452</v>
      </c>
      <c r="H210" s="2" t="s">
        <v>453</v>
      </c>
      <c r="I210" s="4"/>
      <c r="J210" s="4"/>
      <c r="K210" s="4"/>
      <c r="L210" s="5"/>
      <c r="M210" s="3"/>
    </row>
    <row r="211" spans="1:13" ht="28.8" x14ac:dyDescent="0.3">
      <c r="A211" s="2">
        <v>210</v>
      </c>
      <c r="B211" s="2" t="s">
        <v>199</v>
      </c>
      <c r="C211" s="2" t="s">
        <v>449</v>
      </c>
      <c r="D211" s="2">
        <v>42</v>
      </c>
      <c r="E211" s="3" t="s">
        <v>450</v>
      </c>
      <c r="F211" s="3" t="s">
        <v>454</v>
      </c>
      <c r="G211" s="3" t="s">
        <v>455</v>
      </c>
      <c r="H211" s="2" t="s">
        <v>453</v>
      </c>
      <c r="I211" s="4"/>
      <c r="J211" s="4"/>
      <c r="K211" s="4"/>
      <c r="L211" s="5"/>
      <c r="M211" s="3"/>
    </row>
    <row r="212" spans="1:13" ht="43.2" x14ac:dyDescent="0.3">
      <c r="A212" s="2">
        <v>211</v>
      </c>
      <c r="B212" s="2" t="s">
        <v>199</v>
      </c>
      <c r="C212" s="2" t="s">
        <v>449</v>
      </c>
      <c r="D212" s="2">
        <v>62</v>
      </c>
      <c r="E212" s="3" t="s">
        <v>450</v>
      </c>
      <c r="F212" s="3" t="s">
        <v>456</v>
      </c>
      <c r="G212" s="3" t="s">
        <v>457</v>
      </c>
      <c r="H212" s="2"/>
      <c r="I212" s="4"/>
      <c r="J212" s="4"/>
      <c r="K212" s="4"/>
      <c r="L212" s="5"/>
      <c r="M212" s="3"/>
    </row>
    <row r="213" spans="1:13" ht="43.2" x14ac:dyDescent="0.3">
      <c r="A213" s="2">
        <v>212</v>
      </c>
      <c r="B213" s="2" t="s">
        <v>199</v>
      </c>
      <c r="C213" s="2" t="s">
        <v>449</v>
      </c>
      <c r="D213" s="2">
        <v>62</v>
      </c>
      <c r="E213" s="3" t="s">
        <v>450</v>
      </c>
      <c r="F213" s="3" t="s">
        <v>458</v>
      </c>
      <c r="G213" s="3" t="s">
        <v>459</v>
      </c>
      <c r="H213" s="2"/>
      <c r="I213" s="4"/>
      <c r="J213" s="4"/>
      <c r="K213" s="4"/>
      <c r="L213" s="5"/>
      <c r="M213" s="3"/>
    </row>
    <row r="214" spans="1:13" ht="28.8" x14ac:dyDescent="0.3">
      <c r="A214" s="2">
        <v>213</v>
      </c>
      <c r="B214" s="2" t="s">
        <v>199</v>
      </c>
      <c r="C214" s="2" t="s">
        <v>449</v>
      </c>
      <c r="D214" s="2">
        <v>62</v>
      </c>
      <c r="E214" s="3" t="s">
        <v>450</v>
      </c>
      <c r="F214" s="3" t="s">
        <v>460</v>
      </c>
      <c r="G214" s="3" t="s">
        <v>461</v>
      </c>
      <c r="H214" s="2"/>
      <c r="I214" s="4"/>
      <c r="J214" s="4"/>
      <c r="K214" s="4"/>
      <c r="L214" s="5"/>
      <c r="M214" s="3"/>
    </row>
    <row r="215" spans="1:13" ht="43.2" x14ac:dyDescent="0.3">
      <c r="A215" s="2">
        <v>214</v>
      </c>
      <c r="B215" s="2" t="s">
        <v>199</v>
      </c>
      <c r="C215" s="2" t="s">
        <v>449</v>
      </c>
      <c r="D215" s="2">
        <v>62</v>
      </c>
      <c r="E215" s="3" t="s">
        <v>450</v>
      </c>
      <c r="F215" s="3" t="s">
        <v>462</v>
      </c>
      <c r="G215" s="3" t="s">
        <v>463</v>
      </c>
      <c r="H215" s="2"/>
      <c r="I215" s="4"/>
      <c r="J215" s="4"/>
      <c r="K215" s="4"/>
      <c r="L215" s="5"/>
      <c r="M215" s="3"/>
    </row>
    <row r="216" spans="1:13" ht="28.8" x14ac:dyDescent="0.3">
      <c r="A216" s="2">
        <v>215</v>
      </c>
      <c r="B216" s="2" t="s">
        <v>199</v>
      </c>
      <c r="C216" s="2" t="s">
        <v>449</v>
      </c>
      <c r="D216" s="2">
        <v>62</v>
      </c>
      <c r="E216" s="3" t="s">
        <v>450</v>
      </c>
      <c r="F216" s="3" t="s">
        <v>464</v>
      </c>
      <c r="G216" s="3" t="s">
        <v>465</v>
      </c>
      <c r="H216" s="2"/>
      <c r="I216" s="4"/>
      <c r="J216" s="4"/>
      <c r="K216" s="4"/>
      <c r="L216" s="5"/>
      <c r="M216" s="3"/>
    </row>
    <row r="217" spans="1:13" ht="43.2" x14ac:dyDescent="0.3">
      <c r="A217" s="2">
        <v>216</v>
      </c>
      <c r="B217" s="2" t="s">
        <v>199</v>
      </c>
      <c r="C217" s="2" t="s">
        <v>449</v>
      </c>
      <c r="D217" s="2">
        <v>62</v>
      </c>
      <c r="E217" s="3" t="s">
        <v>450</v>
      </c>
      <c r="F217" s="3" t="s">
        <v>466</v>
      </c>
      <c r="G217" s="3" t="s">
        <v>467</v>
      </c>
      <c r="H217" s="2"/>
      <c r="I217" s="4"/>
      <c r="J217" s="4"/>
      <c r="K217" s="4"/>
      <c r="L217" s="5"/>
      <c r="M217" s="3"/>
    </row>
    <row r="218" spans="1:13" ht="43.2" x14ac:dyDescent="0.3">
      <c r="A218" s="2">
        <v>217</v>
      </c>
      <c r="B218" s="2" t="s">
        <v>199</v>
      </c>
      <c r="C218" s="2" t="s">
        <v>449</v>
      </c>
      <c r="D218" s="2">
        <v>62</v>
      </c>
      <c r="E218" s="3" t="s">
        <v>450</v>
      </c>
      <c r="F218" s="3" t="s">
        <v>468</v>
      </c>
      <c r="G218" s="3" t="s">
        <v>469</v>
      </c>
      <c r="H218" s="2"/>
      <c r="I218" s="4"/>
      <c r="J218" s="4"/>
      <c r="K218" s="4"/>
      <c r="L218" s="5"/>
      <c r="M218" s="3"/>
    </row>
    <row r="219" spans="1:13" ht="28.8" x14ac:dyDescent="0.3">
      <c r="A219" s="2">
        <v>218</v>
      </c>
      <c r="B219" s="2" t="s">
        <v>199</v>
      </c>
      <c r="C219" s="2" t="s">
        <v>449</v>
      </c>
      <c r="D219" s="2">
        <v>62</v>
      </c>
      <c r="E219" s="3" t="s">
        <v>450</v>
      </c>
      <c r="F219" s="3" t="s">
        <v>470</v>
      </c>
      <c r="G219" s="3" t="s">
        <v>471</v>
      </c>
      <c r="H219" s="2"/>
      <c r="I219" s="4"/>
      <c r="J219" s="4"/>
      <c r="K219" s="4"/>
      <c r="L219" s="5"/>
      <c r="M219" s="3"/>
    </row>
    <row r="220" spans="1:13" ht="28.8" x14ac:dyDescent="0.3">
      <c r="A220" s="2">
        <v>219</v>
      </c>
      <c r="B220" s="2" t="s">
        <v>199</v>
      </c>
      <c r="C220" s="2" t="s">
        <v>449</v>
      </c>
      <c r="D220" s="2">
        <v>62</v>
      </c>
      <c r="E220" s="3" t="s">
        <v>450</v>
      </c>
      <c r="F220" s="3" t="s">
        <v>472</v>
      </c>
      <c r="G220" s="3" t="s">
        <v>473</v>
      </c>
      <c r="H220" s="2"/>
      <c r="I220" s="4"/>
      <c r="J220" s="4"/>
      <c r="K220" s="4"/>
      <c r="L220" s="5"/>
      <c r="M220" s="3"/>
    </row>
    <row r="221" spans="1:13" x14ac:dyDescent="0.3">
      <c r="A221" s="2">
        <v>220</v>
      </c>
      <c r="B221" s="2" t="s">
        <v>474</v>
      </c>
      <c r="C221" s="2" t="s">
        <v>475</v>
      </c>
      <c r="D221" s="2">
        <v>27</v>
      </c>
      <c r="E221" s="3" t="s">
        <v>476</v>
      </c>
      <c r="F221" s="3" t="s">
        <v>16</v>
      </c>
      <c r="G221" s="3" t="s">
        <v>477</v>
      </c>
      <c r="H221" s="2" t="s">
        <v>478</v>
      </c>
      <c r="I221" s="4"/>
      <c r="J221" s="4"/>
      <c r="K221" s="4"/>
      <c r="L221" s="5"/>
      <c r="M221" s="3"/>
    </row>
    <row r="222" spans="1:13" x14ac:dyDescent="0.3">
      <c r="A222" s="2">
        <v>221</v>
      </c>
      <c r="B222" s="2" t="s">
        <v>474</v>
      </c>
      <c r="C222" s="2" t="s">
        <v>475</v>
      </c>
      <c r="D222" s="2">
        <v>32</v>
      </c>
      <c r="E222" s="3" t="s">
        <v>476</v>
      </c>
      <c r="F222" s="3" t="s">
        <v>18</v>
      </c>
      <c r="G222" s="3" t="s">
        <v>479</v>
      </c>
      <c r="H222" s="2" t="s">
        <v>480</v>
      </c>
      <c r="I222" s="4"/>
      <c r="J222" s="4"/>
      <c r="K222" s="4"/>
      <c r="L222" s="5"/>
      <c r="M222" s="3"/>
    </row>
    <row r="223" spans="1:13" x14ac:dyDescent="0.3">
      <c r="A223" s="2">
        <v>222</v>
      </c>
      <c r="B223" s="2" t="s">
        <v>481</v>
      </c>
      <c r="C223" s="2" t="s">
        <v>482</v>
      </c>
      <c r="D223" s="2">
        <v>37</v>
      </c>
      <c r="E223" s="3" t="s">
        <v>483</v>
      </c>
      <c r="F223" s="3" t="s">
        <v>16</v>
      </c>
      <c r="G223" s="3" t="s">
        <v>484</v>
      </c>
      <c r="H223" s="2" t="s">
        <v>485</v>
      </c>
      <c r="I223" s="4"/>
      <c r="J223" s="4"/>
      <c r="K223" s="4"/>
      <c r="L223" s="5"/>
      <c r="M223" s="3"/>
    </row>
    <row r="224" spans="1:13" ht="28.8" x14ac:dyDescent="0.3">
      <c r="A224" s="2">
        <v>223</v>
      </c>
      <c r="B224" s="2" t="s">
        <v>481</v>
      </c>
      <c r="C224" s="2" t="s">
        <v>482</v>
      </c>
      <c r="D224" s="2">
        <v>43</v>
      </c>
      <c r="E224" s="3" t="s">
        <v>483</v>
      </c>
      <c r="F224" s="3" t="s">
        <v>18</v>
      </c>
      <c r="G224" s="3" t="s">
        <v>486</v>
      </c>
      <c r="H224" s="2" t="s">
        <v>487</v>
      </c>
      <c r="I224" s="4"/>
      <c r="J224" s="4"/>
      <c r="K224" s="4"/>
      <c r="L224" s="5"/>
      <c r="M224" s="3"/>
    </row>
    <row r="225" spans="1:13" ht="28.8" x14ac:dyDescent="0.3">
      <c r="A225" s="2">
        <v>224</v>
      </c>
      <c r="B225" s="2" t="s">
        <v>481</v>
      </c>
      <c r="C225" s="2" t="s">
        <v>482</v>
      </c>
      <c r="D225" s="2">
        <v>48</v>
      </c>
      <c r="E225" s="3" t="s">
        <v>483</v>
      </c>
      <c r="F225" s="3" t="s">
        <v>20</v>
      </c>
      <c r="G225" s="3" t="s">
        <v>488</v>
      </c>
      <c r="H225" s="2" t="s">
        <v>487</v>
      </c>
      <c r="I225" s="4"/>
      <c r="J225" s="4"/>
      <c r="K225" s="4"/>
      <c r="L225" s="5"/>
      <c r="M225" s="3"/>
    </row>
    <row r="226" spans="1:13" ht="28.8" x14ac:dyDescent="0.3">
      <c r="A226" s="2">
        <v>225</v>
      </c>
      <c r="B226" s="2" t="s">
        <v>481</v>
      </c>
      <c r="C226" s="2" t="s">
        <v>482</v>
      </c>
      <c r="D226" s="2">
        <v>53</v>
      </c>
      <c r="E226" s="3" t="s">
        <v>483</v>
      </c>
      <c r="F226" s="3" t="s">
        <v>22</v>
      </c>
      <c r="G226" s="3" t="s">
        <v>489</v>
      </c>
      <c r="H226" s="2" t="s">
        <v>487</v>
      </c>
      <c r="I226" s="4"/>
      <c r="J226" s="4"/>
      <c r="K226" s="4"/>
      <c r="L226" s="5"/>
      <c r="M226" s="3"/>
    </row>
    <row r="227" spans="1:13" ht="28.8" x14ac:dyDescent="0.3">
      <c r="A227" s="2">
        <v>226</v>
      </c>
      <c r="B227" s="2" t="s">
        <v>481</v>
      </c>
      <c r="C227" s="2" t="s">
        <v>482</v>
      </c>
      <c r="D227" s="2">
        <v>58</v>
      </c>
      <c r="E227" s="3" t="s">
        <v>483</v>
      </c>
      <c r="F227" s="3" t="s">
        <v>24</v>
      </c>
      <c r="G227" s="3" t="s">
        <v>490</v>
      </c>
      <c r="H227" s="2" t="s">
        <v>487</v>
      </c>
      <c r="I227" s="4"/>
      <c r="J227" s="4"/>
      <c r="K227" s="4"/>
      <c r="L227" s="5"/>
      <c r="M227" s="3"/>
    </row>
    <row r="228" spans="1:13" ht="28.8" x14ac:dyDescent="0.3">
      <c r="A228" s="2">
        <v>227</v>
      </c>
      <c r="B228" s="2" t="s">
        <v>481</v>
      </c>
      <c r="C228" s="2" t="s">
        <v>482</v>
      </c>
      <c r="D228" s="2">
        <v>64</v>
      </c>
      <c r="E228" s="3" t="s">
        <v>483</v>
      </c>
      <c r="F228" s="3" t="s">
        <v>26</v>
      </c>
      <c r="G228" s="3" t="s">
        <v>491</v>
      </c>
      <c r="H228" s="2" t="s">
        <v>487</v>
      </c>
      <c r="I228" s="4"/>
      <c r="J228" s="4"/>
      <c r="K228" s="4"/>
      <c r="L228" s="5"/>
      <c r="M228" s="3"/>
    </row>
    <row r="229" spans="1:13" ht="28.8" x14ac:dyDescent="0.3">
      <c r="A229" s="2">
        <v>228</v>
      </c>
      <c r="B229" s="2" t="s">
        <v>481</v>
      </c>
      <c r="C229" s="2" t="s">
        <v>482</v>
      </c>
      <c r="D229" s="2">
        <v>69</v>
      </c>
      <c r="E229" s="3" t="s">
        <v>483</v>
      </c>
      <c r="F229" s="3" t="s">
        <v>28</v>
      </c>
      <c r="G229" s="3" t="s">
        <v>492</v>
      </c>
      <c r="H229" s="2" t="s">
        <v>487</v>
      </c>
      <c r="I229" s="4"/>
      <c r="J229" s="4"/>
      <c r="K229" s="4"/>
      <c r="L229" s="5"/>
      <c r="M229" s="3"/>
    </row>
    <row r="230" spans="1:13" ht="28.8" x14ac:dyDescent="0.3">
      <c r="A230" s="2">
        <v>229</v>
      </c>
      <c r="B230" s="2" t="s">
        <v>481</v>
      </c>
      <c r="C230" s="2" t="s">
        <v>482</v>
      </c>
      <c r="D230" s="2">
        <v>74</v>
      </c>
      <c r="E230" s="3" t="s">
        <v>483</v>
      </c>
      <c r="F230" s="3" t="s">
        <v>30</v>
      </c>
      <c r="G230" s="3" t="s">
        <v>493</v>
      </c>
      <c r="H230" s="2" t="s">
        <v>487</v>
      </c>
      <c r="I230" s="4"/>
      <c r="J230" s="4"/>
      <c r="K230" s="4"/>
      <c r="L230" s="5"/>
      <c r="M230" s="3"/>
    </row>
    <row r="231" spans="1:13" ht="43.2" x14ac:dyDescent="0.3">
      <c r="A231" s="2">
        <v>230</v>
      </c>
      <c r="B231" s="2" t="s">
        <v>481</v>
      </c>
      <c r="C231" s="2" t="s">
        <v>482</v>
      </c>
      <c r="D231" s="2">
        <v>79</v>
      </c>
      <c r="E231" s="3" t="s">
        <v>483</v>
      </c>
      <c r="F231" s="3" t="s">
        <v>32</v>
      </c>
      <c r="G231" s="3" t="s">
        <v>494</v>
      </c>
      <c r="H231" s="2" t="s">
        <v>487</v>
      </c>
      <c r="I231" s="4"/>
      <c r="J231" s="4"/>
      <c r="K231" s="4"/>
      <c r="L231" s="5"/>
      <c r="M231" s="3"/>
    </row>
    <row r="232" spans="1:13" ht="28.8" x14ac:dyDescent="0.3">
      <c r="A232" s="2">
        <v>231</v>
      </c>
      <c r="B232" s="2" t="s">
        <v>481</v>
      </c>
      <c r="C232" s="2" t="s">
        <v>482</v>
      </c>
      <c r="D232" s="2">
        <v>85</v>
      </c>
      <c r="E232" s="3" t="s">
        <v>483</v>
      </c>
      <c r="F232" s="3" t="s">
        <v>34</v>
      </c>
      <c r="G232" s="3" t="s">
        <v>495</v>
      </c>
      <c r="H232" s="2" t="s">
        <v>487</v>
      </c>
      <c r="I232" s="4"/>
      <c r="J232" s="4"/>
      <c r="K232" s="4"/>
      <c r="L232" s="5"/>
      <c r="M232" s="3"/>
    </row>
    <row r="233" spans="1:13" ht="28.8" x14ac:dyDescent="0.3">
      <c r="A233" s="2">
        <v>232</v>
      </c>
      <c r="B233" s="2" t="s">
        <v>481</v>
      </c>
      <c r="C233" s="2" t="s">
        <v>482</v>
      </c>
      <c r="D233" s="2">
        <v>90</v>
      </c>
      <c r="E233" s="3" t="s">
        <v>483</v>
      </c>
      <c r="F233" s="3" t="s">
        <v>36</v>
      </c>
      <c r="G233" s="3" t="s">
        <v>496</v>
      </c>
      <c r="H233" s="2" t="s">
        <v>487</v>
      </c>
      <c r="I233" s="4"/>
      <c r="J233" s="4"/>
      <c r="K233" s="4"/>
      <c r="L233" s="5"/>
      <c r="M233" s="3"/>
    </row>
    <row r="234" spans="1:13" ht="28.8" x14ac:dyDescent="0.3">
      <c r="A234" s="2">
        <v>233</v>
      </c>
      <c r="B234" s="2" t="s">
        <v>481</v>
      </c>
      <c r="C234" s="2" t="s">
        <v>482</v>
      </c>
      <c r="D234" s="2">
        <v>95</v>
      </c>
      <c r="E234" s="3" t="s">
        <v>483</v>
      </c>
      <c r="F234" s="3" t="s">
        <v>38</v>
      </c>
      <c r="G234" s="3" t="s">
        <v>497</v>
      </c>
      <c r="H234" s="2" t="s">
        <v>487</v>
      </c>
      <c r="I234" s="4"/>
      <c r="J234" s="4"/>
      <c r="K234" s="4"/>
      <c r="L234" s="5"/>
      <c r="M234" s="3"/>
    </row>
    <row r="235" spans="1:13" ht="43.2" x14ac:dyDescent="0.3">
      <c r="A235" s="2">
        <v>234</v>
      </c>
      <c r="B235" s="2" t="s">
        <v>481</v>
      </c>
      <c r="C235" s="2" t="s">
        <v>482</v>
      </c>
      <c r="D235" s="2">
        <v>100</v>
      </c>
      <c r="E235" s="3" t="s">
        <v>483</v>
      </c>
      <c r="F235" s="3" t="s">
        <v>40</v>
      </c>
      <c r="G235" s="3" t="s">
        <v>498</v>
      </c>
      <c r="H235" s="2" t="s">
        <v>487</v>
      </c>
      <c r="I235" s="4"/>
      <c r="J235" s="4"/>
      <c r="K235" s="4"/>
      <c r="L235" s="5"/>
      <c r="M235" s="3"/>
    </row>
    <row r="236" spans="1:13" ht="43.2" x14ac:dyDescent="0.3">
      <c r="A236" s="2">
        <v>235</v>
      </c>
      <c r="B236" s="2" t="s">
        <v>481</v>
      </c>
      <c r="C236" s="2" t="s">
        <v>482</v>
      </c>
      <c r="D236" s="2">
        <v>106</v>
      </c>
      <c r="E236" s="3" t="s">
        <v>483</v>
      </c>
      <c r="F236" s="3" t="s">
        <v>42</v>
      </c>
      <c r="G236" s="3" t="s">
        <v>499</v>
      </c>
      <c r="H236" s="2" t="s">
        <v>487</v>
      </c>
      <c r="I236" s="4"/>
      <c r="J236" s="4"/>
      <c r="K236" s="4"/>
      <c r="L236" s="5"/>
      <c r="M236" s="3"/>
    </row>
    <row r="237" spans="1:13" ht="28.8" x14ac:dyDescent="0.3">
      <c r="A237" s="2">
        <v>236</v>
      </c>
      <c r="B237" s="2" t="s">
        <v>481</v>
      </c>
      <c r="C237" s="2" t="s">
        <v>500</v>
      </c>
      <c r="D237" s="2">
        <v>68</v>
      </c>
      <c r="E237" s="3" t="s">
        <v>501</v>
      </c>
      <c r="F237" s="3" t="s">
        <v>502</v>
      </c>
      <c r="G237" s="3" t="s">
        <v>503</v>
      </c>
      <c r="H237" s="2" t="s">
        <v>504</v>
      </c>
      <c r="I237" s="4"/>
      <c r="J237" s="4"/>
      <c r="K237" s="4"/>
      <c r="L237" s="5"/>
      <c r="M237" s="3"/>
    </row>
    <row r="238" spans="1:13" ht="28.8" x14ac:dyDescent="0.3">
      <c r="A238" s="2">
        <v>237</v>
      </c>
      <c r="B238" s="2" t="s">
        <v>481</v>
      </c>
      <c r="C238" s="2" t="s">
        <v>500</v>
      </c>
      <c r="D238" s="2">
        <v>78</v>
      </c>
      <c r="E238" s="3" t="s">
        <v>501</v>
      </c>
      <c r="F238" s="3" t="s">
        <v>505</v>
      </c>
      <c r="G238" s="3" t="s">
        <v>506</v>
      </c>
      <c r="H238" s="2" t="s">
        <v>504</v>
      </c>
      <c r="I238" s="4"/>
      <c r="J238" s="4"/>
      <c r="K238" s="4"/>
      <c r="L238" s="5"/>
      <c r="M238" s="3"/>
    </row>
    <row r="239" spans="1:13" ht="43.2" x14ac:dyDescent="0.3">
      <c r="A239" s="2">
        <v>238</v>
      </c>
      <c r="B239" s="2" t="s">
        <v>481</v>
      </c>
      <c r="C239" s="2" t="s">
        <v>500</v>
      </c>
      <c r="D239" s="2">
        <v>96</v>
      </c>
      <c r="E239" s="3" t="s">
        <v>501</v>
      </c>
      <c r="F239" s="3" t="s">
        <v>507</v>
      </c>
      <c r="G239" s="3" t="s">
        <v>508</v>
      </c>
      <c r="H239" s="2" t="s">
        <v>504</v>
      </c>
      <c r="I239" s="4"/>
      <c r="J239" s="4"/>
      <c r="K239" s="4"/>
      <c r="L239" s="5"/>
      <c r="M239" s="3"/>
    </row>
    <row r="240" spans="1:13" ht="28.8" x14ac:dyDescent="0.3">
      <c r="A240" s="2">
        <v>239</v>
      </c>
      <c r="B240" s="2" t="s">
        <v>481</v>
      </c>
      <c r="C240" s="2" t="s">
        <v>500</v>
      </c>
      <c r="D240" s="2">
        <v>113</v>
      </c>
      <c r="E240" s="3" t="s">
        <v>501</v>
      </c>
      <c r="F240" s="3" t="s">
        <v>509</v>
      </c>
      <c r="G240" s="3" t="s">
        <v>510</v>
      </c>
      <c r="H240" s="2" t="s">
        <v>504</v>
      </c>
      <c r="I240" s="4"/>
      <c r="J240" s="4"/>
      <c r="K240" s="4"/>
      <c r="L240" s="5"/>
      <c r="M240" s="3"/>
    </row>
    <row r="241" spans="1:13" ht="43.2" x14ac:dyDescent="0.3">
      <c r="A241" s="2">
        <v>240</v>
      </c>
      <c r="B241" s="2" t="s">
        <v>481</v>
      </c>
      <c r="C241" s="2" t="s">
        <v>500</v>
      </c>
      <c r="D241" s="2">
        <v>127</v>
      </c>
      <c r="E241" s="3" t="s">
        <v>501</v>
      </c>
      <c r="F241" s="3" t="s">
        <v>511</v>
      </c>
      <c r="G241" s="3" t="s">
        <v>512</v>
      </c>
      <c r="H241" s="2" t="s">
        <v>504</v>
      </c>
      <c r="I241" s="4"/>
      <c r="J241" s="4"/>
      <c r="K241" s="4"/>
      <c r="L241" s="5"/>
      <c r="M241" s="3"/>
    </row>
    <row r="242" spans="1:13" ht="28.8" x14ac:dyDescent="0.3">
      <c r="A242" s="2">
        <v>241</v>
      </c>
      <c r="B242" s="2" t="s">
        <v>481</v>
      </c>
      <c r="C242" s="2" t="s">
        <v>500</v>
      </c>
      <c r="D242" s="2">
        <v>137</v>
      </c>
      <c r="E242" s="3" t="s">
        <v>501</v>
      </c>
      <c r="F242" s="3" t="s">
        <v>513</v>
      </c>
      <c r="G242" s="3" t="s">
        <v>514</v>
      </c>
      <c r="H242" s="2" t="s">
        <v>504</v>
      </c>
      <c r="I242" s="4"/>
      <c r="J242" s="4"/>
      <c r="K242" s="4"/>
      <c r="L242" s="5"/>
      <c r="M242" s="3"/>
    </row>
    <row r="243" spans="1:13" ht="28.8" x14ac:dyDescent="0.3">
      <c r="A243" s="2">
        <v>242</v>
      </c>
      <c r="B243" s="2" t="s">
        <v>481</v>
      </c>
      <c r="C243" s="2" t="s">
        <v>500</v>
      </c>
      <c r="D243" s="2">
        <v>148</v>
      </c>
      <c r="E243" s="3" t="s">
        <v>501</v>
      </c>
      <c r="F243" s="3" t="s">
        <v>515</v>
      </c>
      <c r="G243" s="3" t="s">
        <v>516</v>
      </c>
      <c r="H243" s="2" t="s">
        <v>504</v>
      </c>
      <c r="I243" s="4"/>
      <c r="J243" s="4"/>
      <c r="K243" s="4"/>
      <c r="L243" s="5"/>
      <c r="M243" s="3"/>
    </row>
    <row r="244" spans="1:13" ht="28.8" x14ac:dyDescent="0.3">
      <c r="A244" s="2">
        <v>243</v>
      </c>
      <c r="B244" s="2" t="s">
        <v>481</v>
      </c>
      <c r="C244" s="2" t="s">
        <v>500</v>
      </c>
      <c r="D244" s="2">
        <v>161</v>
      </c>
      <c r="E244" s="3" t="s">
        <v>501</v>
      </c>
      <c r="F244" s="3" t="s">
        <v>517</v>
      </c>
      <c r="G244" s="3" t="s">
        <v>518</v>
      </c>
      <c r="H244" s="2" t="s">
        <v>504</v>
      </c>
      <c r="I244" s="4"/>
      <c r="J244" s="4"/>
      <c r="K244" s="4"/>
      <c r="L244" s="5"/>
      <c r="M244" s="3"/>
    </row>
    <row r="245" spans="1:13" x14ac:dyDescent="0.3">
      <c r="A245" s="2">
        <v>244</v>
      </c>
      <c r="B245" s="2" t="s">
        <v>481</v>
      </c>
      <c r="C245" s="2" t="s">
        <v>500</v>
      </c>
      <c r="D245" s="2">
        <v>170</v>
      </c>
      <c r="E245" s="3" t="s">
        <v>501</v>
      </c>
      <c r="F245" s="3" t="s">
        <v>519</v>
      </c>
      <c r="G245" s="3" t="s">
        <v>520</v>
      </c>
      <c r="H245" s="2" t="s">
        <v>504</v>
      </c>
      <c r="I245" s="4"/>
      <c r="J245" s="4"/>
      <c r="K245" s="4"/>
      <c r="L245" s="5"/>
      <c r="M245" s="3"/>
    </row>
    <row r="246" spans="1:13" x14ac:dyDescent="0.3">
      <c r="A246" s="2">
        <v>245</v>
      </c>
      <c r="B246" s="2" t="s">
        <v>481</v>
      </c>
      <c r="C246" s="2" t="s">
        <v>500</v>
      </c>
      <c r="D246" s="2">
        <v>178</v>
      </c>
      <c r="E246" s="3" t="s">
        <v>501</v>
      </c>
      <c r="F246" s="3" t="s">
        <v>521</v>
      </c>
      <c r="G246" s="3" t="s">
        <v>522</v>
      </c>
      <c r="H246" s="2" t="s">
        <v>504</v>
      </c>
      <c r="I246" s="4"/>
      <c r="J246" s="4"/>
      <c r="K246" s="4"/>
      <c r="L246" s="5"/>
      <c r="M246" s="3"/>
    </row>
    <row r="247" spans="1:13" x14ac:dyDescent="0.3">
      <c r="A247" s="2">
        <v>246</v>
      </c>
      <c r="B247" s="2" t="s">
        <v>481</v>
      </c>
      <c r="C247" s="2" t="s">
        <v>500</v>
      </c>
      <c r="D247" s="2">
        <v>190</v>
      </c>
      <c r="E247" s="3" t="s">
        <v>501</v>
      </c>
      <c r="F247" s="3" t="s">
        <v>523</v>
      </c>
      <c r="G247" s="3" t="s">
        <v>524</v>
      </c>
      <c r="H247" s="2" t="s">
        <v>504</v>
      </c>
      <c r="I247" s="4"/>
      <c r="J247" s="4"/>
      <c r="K247" s="4"/>
      <c r="L247" s="5"/>
      <c r="M247" s="3"/>
    </row>
    <row r="248" spans="1:13" ht="28.8" x14ac:dyDescent="0.3">
      <c r="A248" s="2">
        <v>247</v>
      </c>
      <c r="B248" s="2" t="s">
        <v>481</v>
      </c>
      <c r="C248" s="2" t="s">
        <v>500</v>
      </c>
      <c r="D248" s="2">
        <v>205</v>
      </c>
      <c r="E248" s="3" t="s">
        <v>501</v>
      </c>
      <c r="F248" s="3" t="s">
        <v>525</v>
      </c>
      <c r="G248" s="3" t="s">
        <v>526</v>
      </c>
      <c r="H248" s="2" t="s">
        <v>504</v>
      </c>
      <c r="I248" s="4"/>
      <c r="J248" s="4"/>
      <c r="K248" s="4"/>
      <c r="L248" s="5"/>
      <c r="M248" s="3"/>
    </row>
    <row r="249" spans="1:13" x14ac:dyDescent="0.3">
      <c r="A249" s="2">
        <v>248</v>
      </c>
      <c r="B249" s="2" t="s">
        <v>481</v>
      </c>
      <c r="C249" s="2" t="s">
        <v>500</v>
      </c>
      <c r="D249" s="2">
        <v>217</v>
      </c>
      <c r="E249" s="3" t="s">
        <v>501</v>
      </c>
      <c r="F249" s="3" t="s">
        <v>527</v>
      </c>
      <c r="G249" s="3" t="s">
        <v>528</v>
      </c>
      <c r="H249" s="2" t="s">
        <v>504</v>
      </c>
      <c r="I249" s="4"/>
      <c r="J249" s="4"/>
      <c r="K249" s="4"/>
      <c r="L249" s="5"/>
      <c r="M249" s="3"/>
    </row>
    <row r="250" spans="1:13" ht="28.8" x14ac:dyDescent="0.3">
      <c r="A250" s="2">
        <v>249</v>
      </c>
      <c r="B250" s="2" t="s">
        <v>481</v>
      </c>
      <c r="C250" s="2" t="s">
        <v>500</v>
      </c>
      <c r="D250" s="2">
        <v>247</v>
      </c>
      <c r="E250" s="3" t="s">
        <v>501</v>
      </c>
      <c r="F250" s="3" t="s">
        <v>529</v>
      </c>
      <c r="G250" s="3" t="s">
        <v>530</v>
      </c>
      <c r="H250" s="2" t="s">
        <v>504</v>
      </c>
      <c r="I250" s="4"/>
      <c r="J250" s="4"/>
      <c r="K250" s="4"/>
      <c r="L250" s="5"/>
      <c r="M250" s="3"/>
    </row>
    <row r="251" spans="1:13" x14ac:dyDescent="0.3">
      <c r="A251" s="2">
        <v>250</v>
      </c>
      <c r="B251" s="2" t="s">
        <v>481</v>
      </c>
      <c r="C251" s="2" t="s">
        <v>500</v>
      </c>
      <c r="D251" s="2">
        <v>247</v>
      </c>
      <c r="E251" s="3" t="s">
        <v>501</v>
      </c>
      <c r="F251" s="3" t="s">
        <v>531</v>
      </c>
      <c r="G251" s="3" t="s">
        <v>532</v>
      </c>
      <c r="H251" s="2" t="s">
        <v>504</v>
      </c>
      <c r="I251" s="4"/>
      <c r="J251" s="4"/>
      <c r="K251" s="4"/>
      <c r="L251" s="5"/>
      <c r="M251" s="3"/>
    </row>
    <row r="252" spans="1:13" ht="28.8" x14ac:dyDescent="0.3">
      <c r="A252" s="2">
        <v>251</v>
      </c>
      <c r="B252" s="2" t="s">
        <v>481</v>
      </c>
      <c r="C252" s="2" t="s">
        <v>500</v>
      </c>
      <c r="D252" s="2">
        <v>247</v>
      </c>
      <c r="E252" s="3" t="s">
        <v>501</v>
      </c>
      <c r="F252" s="3" t="s">
        <v>533</v>
      </c>
      <c r="G252" s="3" t="s">
        <v>534</v>
      </c>
      <c r="H252" s="2" t="s">
        <v>504</v>
      </c>
      <c r="I252" s="4"/>
      <c r="J252" s="4"/>
      <c r="K252" s="4"/>
      <c r="L252" s="5"/>
      <c r="M252" s="3"/>
    </row>
    <row r="253" spans="1:13" x14ac:dyDescent="0.3">
      <c r="A253" s="2">
        <v>252</v>
      </c>
      <c r="B253" s="2" t="s">
        <v>481</v>
      </c>
      <c r="C253" s="2" t="s">
        <v>500</v>
      </c>
      <c r="D253" s="2">
        <v>247</v>
      </c>
      <c r="E253" s="3" t="s">
        <v>501</v>
      </c>
      <c r="F253" s="3" t="s">
        <v>535</v>
      </c>
      <c r="G253" s="3" t="s">
        <v>536</v>
      </c>
      <c r="H253" s="2" t="s">
        <v>504</v>
      </c>
      <c r="I253" s="4"/>
      <c r="J253" s="4"/>
      <c r="K253" s="4"/>
      <c r="L253" s="5"/>
      <c r="M253" s="3"/>
    </row>
    <row r="254" spans="1:13" x14ac:dyDescent="0.3">
      <c r="A254" s="2">
        <v>253</v>
      </c>
      <c r="B254" s="2" t="s">
        <v>481</v>
      </c>
      <c r="C254" s="2" t="s">
        <v>500</v>
      </c>
      <c r="D254" s="2">
        <v>247</v>
      </c>
      <c r="E254" s="3" t="s">
        <v>501</v>
      </c>
      <c r="F254" s="3" t="s">
        <v>537</v>
      </c>
      <c r="G254" s="3" t="s">
        <v>538</v>
      </c>
      <c r="H254" s="2" t="s">
        <v>504</v>
      </c>
      <c r="I254" s="4"/>
      <c r="J254" s="4"/>
      <c r="K254" s="4"/>
      <c r="L254" s="5"/>
      <c r="M254" s="3"/>
    </row>
    <row r="255" spans="1:13" x14ac:dyDescent="0.3">
      <c r="A255" s="2">
        <v>254</v>
      </c>
      <c r="B255" s="2" t="s">
        <v>481</v>
      </c>
      <c r="C255" s="2" t="s">
        <v>500</v>
      </c>
      <c r="D255" s="2">
        <v>247</v>
      </c>
      <c r="E255" s="3" t="s">
        <v>501</v>
      </c>
      <c r="F255" s="3" t="s">
        <v>539</v>
      </c>
      <c r="G255" s="3" t="s">
        <v>540</v>
      </c>
      <c r="H255" s="2" t="s">
        <v>504</v>
      </c>
      <c r="I255" s="4"/>
      <c r="J255" s="4"/>
      <c r="K255" s="4"/>
      <c r="L255" s="5"/>
      <c r="M255" s="3"/>
    </row>
    <row r="256" spans="1:13" x14ac:dyDescent="0.3">
      <c r="A256" s="2">
        <v>255</v>
      </c>
      <c r="B256" s="2" t="s">
        <v>481</v>
      </c>
      <c r="C256" s="2" t="s">
        <v>500</v>
      </c>
      <c r="D256" s="2">
        <v>247</v>
      </c>
      <c r="E256" s="3" t="s">
        <v>501</v>
      </c>
      <c r="F256" s="3" t="s">
        <v>541</v>
      </c>
      <c r="G256" s="3" t="s">
        <v>542</v>
      </c>
      <c r="H256" s="2" t="s">
        <v>504</v>
      </c>
      <c r="I256" s="4"/>
      <c r="J256" s="4"/>
      <c r="K256" s="4"/>
      <c r="L256" s="5"/>
      <c r="M256" s="3"/>
    </row>
    <row r="257" spans="1:13" ht="28.8" x14ac:dyDescent="0.3">
      <c r="A257" s="2">
        <v>256</v>
      </c>
      <c r="B257" s="2" t="s">
        <v>481</v>
      </c>
      <c r="C257" s="2" t="s">
        <v>500</v>
      </c>
      <c r="D257" s="2">
        <v>247</v>
      </c>
      <c r="E257" s="3" t="s">
        <v>501</v>
      </c>
      <c r="F257" s="3" t="s">
        <v>543</v>
      </c>
      <c r="G257" s="3" t="s">
        <v>544</v>
      </c>
      <c r="H257" s="2" t="s">
        <v>504</v>
      </c>
      <c r="I257" s="4"/>
      <c r="J257" s="4"/>
      <c r="K257" s="4"/>
      <c r="L257" s="5"/>
      <c r="M257" s="3"/>
    </row>
    <row r="258" spans="1:13" x14ac:dyDescent="0.3">
      <c r="A258" s="2">
        <v>257</v>
      </c>
      <c r="B258" s="2" t="s">
        <v>481</v>
      </c>
      <c r="C258" s="2" t="s">
        <v>500</v>
      </c>
      <c r="D258" s="2">
        <v>247</v>
      </c>
      <c r="E258" s="3" t="s">
        <v>501</v>
      </c>
      <c r="F258" s="3" t="s">
        <v>545</v>
      </c>
      <c r="G258" s="3" t="s">
        <v>546</v>
      </c>
      <c r="H258" s="2" t="s">
        <v>504</v>
      </c>
      <c r="I258" s="4"/>
      <c r="J258" s="4"/>
      <c r="K258" s="4"/>
      <c r="L258" s="5"/>
      <c r="M258" s="3"/>
    </row>
    <row r="259" spans="1:13" x14ac:dyDescent="0.3">
      <c r="A259" s="2">
        <v>258</v>
      </c>
      <c r="B259" s="2" t="s">
        <v>481</v>
      </c>
      <c r="C259" s="2" t="s">
        <v>500</v>
      </c>
      <c r="D259" s="2">
        <v>247</v>
      </c>
      <c r="E259" s="3" t="s">
        <v>501</v>
      </c>
      <c r="F259" s="3" t="s">
        <v>547</v>
      </c>
      <c r="G259" s="3" t="s">
        <v>548</v>
      </c>
      <c r="H259" s="2" t="s">
        <v>504</v>
      </c>
      <c r="I259" s="4"/>
      <c r="J259" s="4"/>
      <c r="K259" s="4"/>
      <c r="L259" s="5"/>
      <c r="M259" s="3"/>
    </row>
    <row r="260" spans="1:13" x14ac:dyDescent="0.3">
      <c r="A260" s="2">
        <v>259</v>
      </c>
      <c r="B260" s="2" t="s">
        <v>481</v>
      </c>
      <c r="C260" s="2" t="s">
        <v>500</v>
      </c>
      <c r="D260" s="2">
        <v>247</v>
      </c>
      <c r="E260" s="3" t="s">
        <v>501</v>
      </c>
      <c r="F260" s="3" t="s">
        <v>549</v>
      </c>
      <c r="G260" s="3" t="s">
        <v>550</v>
      </c>
      <c r="H260" s="2" t="s">
        <v>504</v>
      </c>
      <c r="I260" s="4"/>
      <c r="J260" s="4"/>
      <c r="K260" s="4"/>
      <c r="L260" s="5"/>
      <c r="M260" s="3"/>
    </row>
    <row r="261" spans="1:13" ht="28.8" x14ac:dyDescent="0.3">
      <c r="A261" s="2">
        <v>260</v>
      </c>
      <c r="B261" s="2" t="s">
        <v>481</v>
      </c>
      <c r="C261" s="2" t="s">
        <v>500</v>
      </c>
      <c r="D261" s="2">
        <v>247</v>
      </c>
      <c r="E261" s="3" t="s">
        <v>501</v>
      </c>
      <c r="F261" s="3" t="s">
        <v>551</v>
      </c>
      <c r="G261" s="3" t="s">
        <v>552</v>
      </c>
      <c r="H261" s="2" t="s">
        <v>504</v>
      </c>
      <c r="I261" s="4"/>
      <c r="J261" s="4"/>
      <c r="K261" s="4"/>
      <c r="L261" s="5"/>
      <c r="M261" s="3"/>
    </row>
    <row r="262" spans="1:13" x14ac:dyDescent="0.3">
      <c r="A262" s="2">
        <v>261</v>
      </c>
      <c r="B262" s="2" t="s">
        <v>481</v>
      </c>
      <c r="C262" s="2" t="s">
        <v>500</v>
      </c>
      <c r="D262" s="2">
        <v>247</v>
      </c>
      <c r="E262" s="3" t="s">
        <v>501</v>
      </c>
      <c r="F262" s="3" t="s">
        <v>553</v>
      </c>
      <c r="G262" s="3" t="s">
        <v>554</v>
      </c>
      <c r="H262" s="2" t="s">
        <v>504</v>
      </c>
      <c r="I262" s="4"/>
      <c r="J262" s="4"/>
      <c r="K262" s="4"/>
      <c r="L262" s="5"/>
      <c r="M262" s="3"/>
    </row>
    <row r="263" spans="1:13" x14ac:dyDescent="0.3">
      <c r="A263" s="2">
        <v>262</v>
      </c>
      <c r="B263" s="2" t="s">
        <v>481</v>
      </c>
      <c r="C263" s="2" t="s">
        <v>500</v>
      </c>
      <c r="D263" s="2">
        <v>247</v>
      </c>
      <c r="E263" s="3" t="s">
        <v>501</v>
      </c>
      <c r="F263" s="3" t="s">
        <v>555</v>
      </c>
      <c r="G263" s="3" t="s">
        <v>556</v>
      </c>
      <c r="H263" s="2" t="s">
        <v>504</v>
      </c>
      <c r="I263" s="4"/>
      <c r="J263" s="4"/>
      <c r="K263" s="4"/>
      <c r="L263" s="5"/>
      <c r="M263" s="3"/>
    </row>
    <row r="264" spans="1:13" ht="28.8" x14ac:dyDescent="0.3">
      <c r="A264" s="2">
        <v>263</v>
      </c>
      <c r="B264" s="2" t="s">
        <v>481</v>
      </c>
      <c r="C264" s="2" t="s">
        <v>500</v>
      </c>
      <c r="D264" s="2">
        <v>247</v>
      </c>
      <c r="E264" s="3" t="s">
        <v>501</v>
      </c>
      <c r="F264" s="3" t="s">
        <v>557</v>
      </c>
      <c r="G264" s="3" t="s">
        <v>558</v>
      </c>
      <c r="H264" s="2" t="s">
        <v>504</v>
      </c>
      <c r="I264" s="4"/>
      <c r="J264" s="4"/>
      <c r="K264" s="4"/>
      <c r="L264" s="5"/>
      <c r="M264" s="3"/>
    </row>
    <row r="265" spans="1:13" x14ac:dyDescent="0.3">
      <c r="A265" s="2">
        <v>264</v>
      </c>
      <c r="B265" s="2" t="s">
        <v>481</v>
      </c>
      <c r="C265" s="2" t="s">
        <v>500</v>
      </c>
      <c r="D265" s="2">
        <v>254</v>
      </c>
      <c r="E265" s="3" t="s">
        <v>501</v>
      </c>
      <c r="F265" s="3" t="s">
        <v>559</v>
      </c>
      <c r="G265" s="3" t="s">
        <v>560</v>
      </c>
      <c r="H265" s="2" t="s">
        <v>504</v>
      </c>
      <c r="I265" s="4"/>
      <c r="J265" s="4"/>
      <c r="K265" s="4"/>
      <c r="L265" s="5"/>
      <c r="M265" s="3"/>
    </row>
    <row r="266" spans="1:13" x14ac:dyDescent="0.3">
      <c r="A266" s="2">
        <v>265</v>
      </c>
      <c r="B266" s="2" t="s">
        <v>481</v>
      </c>
      <c r="C266" s="2" t="s">
        <v>500</v>
      </c>
      <c r="D266" s="2">
        <v>261</v>
      </c>
      <c r="E266" s="3" t="s">
        <v>501</v>
      </c>
      <c r="F266" s="3" t="s">
        <v>561</v>
      </c>
      <c r="G266" s="3" t="s">
        <v>562</v>
      </c>
      <c r="H266" s="2" t="s">
        <v>504</v>
      </c>
      <c r="I266" s="4"/>
      <c r="J266" s="4"/>
      <c r="K266" s="4"/>
      <c r="L266" s="5"/>
      <c r="M266" s="3"/>
    </row>
    <row r="267" spans="1:13" x14ac:dyDescent="0.3">
      <c r="A267" s="2">
        <v>266</v>
      </c>
      <c r="B267" s="2" t="s">
        <v>481</v>
      </c>
      <c r="C267" s="2" t="s">
        <v>500</v>
      </c>
      <c r="D267" s="2">
        <v>272</v>
      </c>
      <c r="E267" s="3" t="s">
        <v>501</v>
      </c>
      <c r="F267" s="3" t="s">
        <v>563</v>
      </c>
      <c r="G267" s="3" t="s">
        <v>564</v>
      </c>
      <c r="H267" s="2" t="s">
        <v>504</v>
      </c>
      <c r="I267" s="4"/>
      <c r="J267" s="4"/>
      <c r="K267" s="4"/>
      <c r="L267" s="5"/>
      <c r="M267" s="3"/>
    </row>
    <row r="268" spans="1:13" x14ac:dyDescent="0.3">
      <c r="A268" s="2">
        <v>267</v>
      </c>
      <c r="B268" s="2" t="s">
        <v>481</v>
      </c>
      <c r="C268" s="2" t="s">
        <v>500</v>
      </c>
      <c r="D268" s="2">
        <v>272</v>
      </c>
      <c r="E268" s="3" t="s">
        <v>501</v>
      </c>
      <c r="F268" s="3" t="s">
        <v>565</v>
      </c>
      <c r="G268" s="3" t="s">
        <v>566</v>
      </c>
      <c r="H268" s="2" t="s">
        <v>504</v>
      </c>
      <c r="I268" s="4"/>
      <c r="J268" s="4"/>
      <c r="K268" s="4"/>
      <c r="L268" s="5"/>
      <c r="M268" s="3"/>
    </row>
    <row r="269" spans="1:13" ht="28.8" x14ac:dyDescent="0.3">
      <c r="A269" s="2">
        <v>268</v>
      </c>
      <c r="B269" s="2" t="s">
        <v>481</v>
      </c>
      <c r="C269" s="2" t="s">
        <v>500</v>
      </c>
      <c r="D269" s="2">
        <v>279</v>
      </c>
      <c r="E269" s="3" t="s">
        <v>501</v>
      </c>
      <c r="F269" s="3" t="s">
        <v>567</v>
      </c>
      <c r="G269" s="3" t="s">
        <v>568</v>
      </c>
      <c r="H269" s="2" t="s">
        <v>504</v>
      </c>
      <c r="I269" s="4"/>
      <c r="J269" s="4"/>
      <c r="K269" s="4"/>
      <c r="L269" s="5"/>
      <c r="M269" s="3"/>
    </row>
    <row r="270" spans="1:13" ht="43.2" x14ac:dyDescent="0.3">
      <c r="A270" s="2">
        <v>269</v>
      </c>
      <c r="B270" s="2" t="s">
        <v>481</v>
      </c>
      <c r="C270" s="2" t="s">
        <v>500</v>
      </c>
      <c r="D270" s="2">
        <v>297</v>
      </c>
      <c r="E270" s="3" t="s">
        <v>501</v>
      </c>
      <c r="F270" s="3" t="s">
        <v>569</v>
      </c>
      <c r="G270" s="3" t="s">
        <v>570</v>
      </c>
      <c r="H270" s="2" t="s">
        <v>504</v>
      </c>
      <c r="I270" s="4"/>
      <c r="J270" s="4"/>
      <c r="K270" s="4"/>
      <c r="L270" s="5"/>
      <c r="M270" s="3"/>
    </row>
    <row r="271" spans="1:13" ht="28.8" x14ac:dyDescent="0.3">
      <c r="A271" s="2">
        <v>270</v>
      </c>
      <c r="B271" s="2" t="s">
        <v>481</v>
      </c>
      <c r="C271" s="2" t="s">
        <v>500</v>
      </c>
      <c r="D271" s="2">
        <v>311</v>
      </c>
      <c r="E271" s="3" t="s">
        <v>501</v>
      </c>
      <c r="F271" s="3" t="s">
        <v>571</v>
      </c>
      <c r="G271" s="3" t="s">
        <v>572</v>
      </c>
      <c r="H271" s="2" t="s">
        <v>504</v>
      </c>
      <c r="I271" s="4"/>
      <c r="J271" s="4"/>
      <c r="K271" s="4"/>
      <c r="L271" s="5"/>
      <c r="M271" s="3"/>
    </row>
    <row r="272" spans="1:13" x14ac:dyDescent="0.3">
      <c r="A272" s="2">
        <v>271</v>
      </c>
      <c r="B272" s="2" t="s">
        <v>481</v>
      </c>
      <c r="C272" s="2" t="s">
        <v>500</v>
      </c>
      <c r="D272" s="2">
        <v>323</v>
      </c>
      <c r="E272" s="3" t="s">
        <v>501</v>
      </c>
      <c r="F272" s="3" t="s">
        <v>573</v>
      </c>
      <c r="G272" s="3" t="s">
        <v>574</v>
      </c>
      <c r="H272" s="2" t="s">
        <v>504</v>
      </c>
      <c r="I272" s="4"/>
      <c r="J272" s="4"/>
      <c r="K272" s="4"/>
      <c r="L272" s="5"/>
      <c r="M272" s="3"/>
    </row>
    <row r="273" spans="1:13" x14ac:dyDescent="0.3">
      <c r="A273" s="2">
        <v>272</v>
      </c>
      <c r="B273" s="2" t="s">
        <v>481</v>
      </c>
      <c r="C273" s="2" t="s">
        <v>500</v>
      </c>
      <c r="D273" s="2">
        <v>341</v>
      </c>
      <c r="E273" s="3" t="s">
        <v>501</v>
      </c>
      <c r="F273" s="3" t="s">
        <v>575</v>
      </c>
      <c r="G273" s="3" t="s">
        <v>576</v>
      </c>
      <c r="H273" s="2" t="s">
        <v>504</v>
      </c>
      <c r="I273" s="4"/>
      <c r="J273" s="4"/>
      <c r="K273" s="4"/>
      <c r="L273" s="5"/>
      <c r="M273" s="3"/>
    </row>
    <row r="274" spans="1:13" x14ac:dyDescent="0.3">
      <c r="A274" s="2">
        <v>273</v>
      </c>
      <c r="B274" s="2" t="s">
        <v>481</v>
      </c>
      <c r="C274" s="2" t="s">
        <v>500</v>
      </c>
      <c r="D274" s="2">
        <v>353</v>
      </c>
      <c r="E274" s="3" t="s">
        <v>501</v>
      </c>
      <c r="F274" s="3" t="s">
        <v>577</v>
      </c>
      <c r="G274" s="3" t="s">
        <v>578</v>
      </c>
      <c r="H274" s="2" t="s">
        <v>504</v>
      </c>
      <c r="I274" s="4"/>
      <c r="J274" s="4"/>
      <c r="K274" s="4"/>
      <c r="L274" s="5"/>
      <c r="M274" s="3"/>
    </row>
    <row r="275" spans="1:13" x14ac:dyDescent="0.3">
      <c r="A275" s="2">
        <v>274</v>
      </c>
      <c r="B275" s="2" t="s">
        <v>481</v>
      </c>
      <c r="C275" s="2" t="s">
        <v>500</v>
      </c>
      <c r="D275" s="2">
        <v>359</v>
      </c>
      <c r="E275" s="3" t="s">
        <v>501</v>
      </c>
      <c r="F275" s="3" t="s">
        <v>579</v>
      </c>
      <c r="G275" s="3" t="s">
        <v>580</v>
      </c>
      <c r="H275" s="2" t="s">
        <v>504</v>
      </c>
      <c r="I275" s="4"/>
      <c r="J275" s="4"/>
      <c r="K275" s="4"/>
      <c r="L275" s="5"/>
      <c r="M275" s="3"/>
    </row>
    <row r="276" spans="1:13" x14ac:dyDescent="0.3">
      <c r="A276" s="2">
        <v>275</v>
      </c>
      <c r="B276" s="2" t="s">
        <v>481</v>
      </c>
      <c r="C276" s="2" t="s">
        <v>500</v>
      </c>
      <c r="D276" s="2">
        <v>368</v>
      </c>
      <c r="E276" s="3" t="s">
        <v>501</v>
      </c>
      <c r="F276" s="3" t="s">
        <v>581</v>
      </c>
      <c r="G276" s="3" t="s">
        <v>582</v>
      </c>
      <c r="H276" s="2" t="s">
        <v>504</v>
      </c>
      <c r="I276" s="4"/>
      <c r="J276" s="4"/>
      <c r="K276" s="4"/>
      <c r="L276" s="5"/>
      <c r="M276" s="3"/>
    </row>
    <row r="277" spans="1:13" x14ac:dyDescent="0.3">
      <c r="A277" s="2">
        <v>276</v>
      </c>
      <c r="B277" s="2" t="s">
        <v>481</v>
      </c>
      <c r="C277" s="2" t="s">
        <v>500</v>
      </c>
      <c r="D277" s="2">
        <v>378</v>
      </c>
      <c r="E277" s="3" t="s">
        <v>501</v>
      </c>
      <c r="F277" s="3" t="s">
        <v>583</v>
      </c>
      <c r="G277" s="3" t="s">
        <v>584</v>
      </c>
      <c r="H277" s="2" t="s">
        <v>504</v>
      </c>
      <c r="I277" s="4"/>
      <c r="J277" s="4"/>
      <c r="K277" s="4"/>
      <c r="L277" s="5"/>
      <c r="M277" s="3"/>
    </row>
    <row r="278" spans="1:13" x14ac:dyDescent="0.3">
      <c r="A278" s="2">
        <v>277</v>
      </c>
      <c r="B278" s="2" t="s">
        <v>481</v>
      </c>
      <c r="C278" s="2" t="s">
        <v>500</v>
      </c>
      <c r="D278" s="2">
        <v>378</v>
      </c>
      <c r="E278" s="3" t="s">
        <v>501</v>
      </c>
      <c r="F278" s="3" t="s">
        <v>585</v>
      </c>
      <c r="G278" s="3" t="s">
        <v>586</v>
      </c>
      <c r="H278" s="2" t="s">
        <v>504</v>
      </c>
      <c r="I278" s="4"/>
      <c r="J278" s="4"/>
      <c r="K278" s="4"/>
      <c r="L278" s="5"/>
      <c r="M278" s="3"/>
    </row>
    <row r="279" spans="1:13" x14ac:dyDescent="0.3">
      <c r="A279" s="2">
        <v>278</v>
      </c>
      <c r="B279" s="2" t="s">
        <v>481</v>
      </c>
      <c r="C279" s="2" t="s">
        <v>500</v>
      </c>
      <c r="D279" s="2">
        <v>378</v>
      </c>
      <c r="E279" s="3" t="s">
        <v>501</v>
      </c>
      <c r="F279" s="3" t="s">
        <v>587</v>
      </c>
      <c r="G279" s="3" t="s">
        <v>588</v>
      </c>
      <c r="H279" s="2" t="s">
        <v>504</v>
      </c>
      <c r="I279" s="4"/>
      <c r="J279" s="4"/>
      <c r="K279" s="4"/>
      <c r="L279" s="5"/>
      <c r="M279" s="3"/>
    </row>
    <row r="280" spans="1:13" x14ac:dyDescent="0.3">
      <c r="A280" s="2">
        <v>279</v>
      </c>
      <c r="B280" s="2" t="s">
        <v>481</v>
      </c>
      <c r="C280" s="2" t="s">
        <v>500</v>
      </c>
      <c r="D280" s="2">
        <v>378</v>
      </c>
      <c r="E280" s="3" t="s">
        <v>501</v>
      </c>
      <c r="F280" s="3" t="s">
        <v>589</v>
      </c>
      <c r="G280" s="3" t="s">
        <v>590</v>
      </c>
      <c r="H280" s="2" t="s">
        <v>504</v>
      </c>
      <c r="I280" s="4"/>
      <c r="J280" s="4"/>
      <c r="K280" s="4"/>
      <c r="L280" s="5"/>
      <c r="M280" s="3"/>
    </row>
    <row r="281" spans="1:13" x14ac:dyDescent="0.3">
      <c r="A281" s="2">
        <v>280</v>
      </c>
      <c r="B281" s="2" t="s">
        <v>481</v>
      </c>
      <c r="C281" s="2" t="s">
        <v>500</v>
      </c>
      <c r="D281" s="2">
        <v>378</v>
      </c>
      <c r="E281" s="3" t="s">
        <v>501</v>
      </c>
      <c r="F281" s="3" t="s">
        <v>591</v>
      </c>
      <c r="G281" s="3" t="s">
        <v>592</v>
      </c>
      <c r="H281" s="2" t="s">
        <v>504</v>
      </c>
      <c r="I281" s="4"/>
      <c r="J281" s="4"/>
      <c r="K281" s="4"/>
      <c r="L281" s="5"/>
      <c r="M281" s="3"/>
    </row>
    <row r="282" spans="1:13" ht="28.8" x14ac:dyDescent="0.3">
      <c r="A282" s="2">
        <v>281</v>
      </c>
      <c r="B282" s="2" t="s">
        <v>481</v>
      </c>
      <c r="C282" s="2" t="s">
        <v>500</v>
      </c>
      <c r="D282" s="2">
        <v>386</v>
      </c>
      <c r="E282" s="3" t="s">
        <v>501</v>
      </c>
      <c r="F282" s="3" t="s">
        <v>593</v>
      </c>
      <c r="G282" s="3" t="s">
        <v>594</v>
      </c>
      <c r="H282" s="2" t="s">
        <v>504</v>
      </c>
      <c r="I282" s="4"/>
      <c r="J282" s="4"/>
      <c r="K282" s="4"/>
      <c r="L282" s="5"/>
      <c r="M282" s="3"/>
    </row>
    <row r="283" spans="1:13" x14ac:dyDescent="0.3">
      <c r="A283" s="2">
        <v>282</v>
      </c>
      <c r="B283" s="2" t="s">
        <v>481</v>
      </c>
      <c r="C283" s="2" t="s">
        <v>500</v>
      </c>
      <c r="D283" s="2">
        <v>397</v>
      </c>
      <c r="E283" s="3" t="s">
        <v>501</v>
      </c>
      <c r="F283" s="3" t="s">
        <v>595</v>
      </c>
      <c r="G283" s="3" t="s">
        <v>596</v>
      </c>
      <c r="H283" s="2" t="s">
        <v>504</v>
      </c>
      <c r="I283" s="4"/>
      <c r="J283" s="4"/>
      <c r="K283" s="4"/>
      <c r="L283" s="5"/>
      <c r="M283" s="3"/>
    </row>
    <row r="284" spans="1:13" x14ac:dyDescent="0.3">
      <c r="A284" s="2">
        <v>283</v>
      </c>
      <c r="B284" s="2" t="s">
        <v>481</v>
      </c>
      <c r="C284" s="2" t="s">
        <v>500</v>
      </c>
      <c r="D284" s="2">
        <v>403</v>
      </c>
      <c r="E284" s="3" t="s">
        <v>501</v>
      </c>
      <c r="F284" s="3" t="s">
        <v>597</v>
      </c>
      <c r="G284" s="3" t="s">
        <v>598</v>
      </c>
      <c r="H284" s="2" t="s">
        <v>504</v>
      </c>
      <c r="I284" s="4"/>
      <c r="J284" s="4"/>
      <c r="K284" s="4"/>
      <c r="L284" s="5"/>
      <c r="M284" s="3"/>
    </row>
    <row r="285" spans="1:13" ht="28.8" x14ac:dyDescent="0.3">
      <c r="A285" s="2">
        <v>284</v>
      </c>
      <c r="B285" s="2" t="s">
        <v>481</v>
      </c>
      <c r="C285" s="2" t="s">
        <v>500</v>
      </c>
      <c r="D285" s="2">
        <v>414</v>
      </c>
      <c r="E285" s="3" t="s">
        <v>501</v>
      </c>
      <c r="F285" s="3" t="s">
        <v>599</v>
      </c>
      <c r="G285" s="3" t="s">
        <v>600</v>
      </c>
      <c r="H285" s="2" t="s">
        <v>504</v>
      </c>
      <c r="I285" s="4"/>
      <c r="J285" s="4"/>
      <c r="K285" s="4"/>
      <c r="L285" s="5"/>
      <c r="M285" s="3"/>
    </row>
    <row r="286" spans="1:13" ht="28.8" x14ac:dyDescent="0.3">
      <c r="A286" s="2">
        <v>285</v>
      </c>
      <c r="B286" s="2" t="s">
        <v>481</v>
      </c>
      <c r="C286" s="2" t="s">
        <v>500</v>
      </c>
      <c r="D286" s="2">
        <v>427</v>
      </c>
      <c r="E286" s="3" t="s">
        <v>501</v>
      </c>
      <c r="F286" s="3" t="s">
        <v>601</v>
      </c>
      <c r="G286" s="3" t="s">
        <v>602</v>
      </c>
      <c r="H286" s="2" t="s">
        <v>504</v>
      </c>
      <c r="I286" s="4"/>
      <c r="J286" s="4"/>
      <c r="K286" s="4"/>
      <c r="L286" s="5"/>
      <c r="M286" s="3"/>
    </row>
    <row r="287" spans="1:13" ht="28.8" x14ac:dyDescent="0.3">
      <c r="A287" s="2">
        <v>286</v>
      </c>
      <c r="B287" s="2" t="s">
        <v>481</v>
      </c>
      <c r="C287" s="2" t="s">
        <v>500</v>
      </c>
      <c r="D287" s="2">
        <v>445</v>
      </c>
      <c r="E287" s="3" t="s">
        <v>501</v>
      </c>
      <c r="F287" s="3" t="s">
        <v>603</v>
      </c>
      <c r="G287" s="3" t="s">
        <v>604</v>
      </c>
      <c r="H287" s="2" t="s">
        <v>504</v>
      </c>
      <c r="I287" s="4"/>
      <c r="J287" s="4"/>
      <c r="K287" s="4"/>
      <c r="L287" s="5"/>
      <c r="M287" s="3"/>
    </row>
    <row r="288" spans="1:13" x14ac:dyDescent="0.3">
      <c r="A288" s="2">
        <v>287</v>
      </c>
      <c r="B288" s="2" t="s">
        <v>481</v>
      </c>
      <c r="C288" s="2" t="s">
        <v>500</v>
      </c>
      <c r="D288" s="2">
        <v>460</v>
      </c>
      <c r="E288" s="3" t="s">
        <v>501</v>
      </c>
      <c r="F288" s="3" t="s">
        <v>605</v>
      </c>
      <c r="G288" s="3" t="s">
        <v>606</v>
      </c>
      <c r="H288" s="2" t="s">
        <v>504</v>
      </c>
      <c r="I288" s="4"/>
      <c r="J288" s="4"/>
      <c r="K288" s="4"/>
      <c r="L288" s="5"/>
      <c r="M288" s="3"/>
    </row>
    <row r="289" spans="1:13" x14ac:dyDescent="0.3">
      <c r="A289" s="2">
        <v>288</v>
      </c>
      <c r="B289" s="2" t="s">
        <v>481</v>
      </c>
      <c r="C289" s="2" t="s">
        <v>500</v>
      </c>
      <c r="D289" s="2">
        <v>480</v>
      </c>
      <c r="E289" s="3" t="s">
        <v>501</v>
      </c>
      <c r="F289" s="3" t="s">
        <v>607</v>
      </c>
      <c r="G289" s="3" t="s">
        <v>608</v>
      </c>
      <c r="H289" s="2" t="s">
        <v>504</v>
      </c>
      <c r="I289" s="4"/>
      <c r="J289" s="4"/>
      <c r="K289" s="4"/>
      <c r="L289" s="5"/>
      <c r="M289" s="3"/>
    </row>
    <row r="290" spans="1:13" ht="28.8" x14ac:dyDescent="0.3">
      <c r="A290" s="2">
        <v>289</v>
      </c>
      <c r="B290" s="2" t="s">
        <v>481</v>
      </c>
      <c r="C290" s="2" t="s">
        <v>500</v>
      </c>
      <c r="D290" s="2">
        <v>493</v>
      </c>
      <c r="E290" s="3" t="s">
        <v>501</v>
      </c>
      <c r="F290" s="3" t="s">
        <v>609</v>
      </c>
      <c r="G290" s="3" t="s">
        <v>610</v>
      </c>
      <c r="H290" s="2" t="s">
        <v>504</v>
      </c>
      <c r="I290" s="4"/>
      <c r="J290" s="4"/>
      <c r="K290" s="4"/>
      <c r="L290" s="5"/>
      <c r="M290" s="3"/>
    </row>
    <row r="291" spans="1:13" ht="43.2" x14ac:dyDescent="0.3">
      <c r="A291" s="2">
        <v>290</v>
      </c>
      <c r="B291" s="2" t="s">
        <v>481</v>
      </c>
      <c r="C291" s="2" t="s">
        <v>500</v>
      </c>
      <c r="D291" s="2">
        <v>507</v>
      </c>
      <c r="E291" s="3" t="s">
        <v>501</v>
      </c>
      <c r="F291" s="3" t="s">
        <v>611</v>
      </c>
      <c r="G291" s="3" t="s">
        <v>612</v>
      </c>
      <c r="H291" s="2" t="s">
        <v>504</v>
      </c>
      <c r="I291" s="4"/>
      <c r="J291" s="4"/>
      <c r="K291" s="4"/>
      <c r="L291" s="5"/>
      <c r="M291" s="3"/>
    </row>
    <row r="292" spans="1:13" ht="28.8" x14ac:dyDescent="0.3">
      <c r="A292" s="2">
        <v>291</v>
      </c>
      <c r="B292" s="2" t="s">
        <v>481</v>
      </c>
      <c r="C292" s="2" t="s">
        <v>500</v>
      </c>
      <c r="D292" s="2">
        <v>515</v>
      </c>
      <c r="E292" s="3" t="s">
        <v>501</v>
      </c>
      <c r="F292" s="3" t="s">
        <v>613</v>
      </c>
      <c r="G292" s="3" t="s">
        <v>614</v>
      </c>
      <c r="H292" s="2" t="s">
        <v>504</v>
      </c>
      <c r="I292" s="4"/>
      <c r="J292" s="4"/>
      <c r="K292" s="4"/>
      <c r="L292" s="5"/>
      <c r="M292" s="3"/>
    </row>
    <row r="293" spans="1:13" ht="28.8" x14ac:dyDescent="0.3">
      <c r="A293" s="2">
        <v>292</v>
      </c>
      <c r="B293" s="2" t="s">
        <v>481</v>
      </c>
      <c r="C293" s="2" t="s">
        <v>500</v>
      </c>
      <c r="D293" s="2">
        <v>539</v>
      </c>
      <c r="E293" s="3" t="s">
        <v>501</v>
      </c>
      <c r="F293" s="3" t="s">
        <v>615</v>
      </c>
      <c r="G293" s="3" t="s">
        <v>616</v>
      </c>
      <c r="H293" s="2" t="s">
        <v>504</v>
      </c>
      <c r="I293" s="4"/>
      <c r="J293" s="4"/>
      <c r="K293" s="4"/>
      <c r="L293" s="5"/>
      <c r="M293" s="3"/>
    </row>
    <row r="294" spans="1:13" x14ac:dyDescent="0.3">
      <c r="A294" s="2">
        <v>293</v>
      </c>
      <c r="B294" s="2" t="s">
        <v>481</v>
      </c>
      <c r="C294" s="2" t="s">
        <v>500</v>
      </c>
      <c r="D294" s="2">
        <v>552</v>
      </c>
      <c r="E294" s="3" t="s">
        <v>501</v>
      </c>
      <c r="F294" s="3" t="s">
        <v>617</v>
      </c>
      <c r="G294" s="3" t="s">
        <v>618</v>
      </c>
      <c r="H294" s="2" t="s">
        <v>504</v>
      </c>
      <c r="I294" s="4"/>
      <c r="J294" s="4"/>
      <c r="K294" s="4"/>
      <c r="L294" s="5"/>
      <c r="M294" s="3"/>
    </row>
    <row r="295" spans="1:13" ht="28.8" x14ac:dyDescent="0.3">
      <c r="A295" s="2">
        <v>294</v>
      </c>
      <c r="B295" s="2" t="s">
        <v>481</v>
      </c>
      <c r="C295" s="2" t="s">
        <v>500</v>
      </c>
      <c r="D295" s="2">
        <v>566</v>
      </c>
      <c r="E295" s="3" t="s">
        <v>501</v>
      </c>
      <c r="F295" s="3" t="s">
        <v>619</v>
      </c>
      <c r="G295" s="3" t="s">
        <v>620</v>
      </c>
      <c r="H295" s="2" t="s">
        <v>504</v>
      </c>
      <c r="I295" s="4"/>
      <c r="J295" s="4"/>
      <c r="K295" s="4"/>
      <c r="L295" s="5"/>
      <c r="M295" s="3"/>
    </row>
    <row r="296" spans="1:13" ht="28.8" x14ac:dyDescent="0.3">
      <c r="A296" s="2">
        <v>295</v>
      </c>
      <c r="B296" s="2" t="s">
        <v>481</v>
      </c>
      <c r="C296" s="2" t="s">
        <v>500</v>
      </c>
      <c r="D296" s="2">
        <v>595</v>
      </c>
      <c r="E296" s="3" t="s">
        <v>501</v>
      </c>
      <c r="F296" s="3" t="s">
        <v>621</v>
      </c>
      <c r="G296" s="3" t="s">
        <v>622</v>
      </c>
      <c r="H296" s="2" t="s">
        <v>504</v>
      </c>
      <c r="I296" s="4"/>
      <c r="J296" s="4"/>
      <c r="K296" s="4"/>
      <c r="L296" s="5"/>
      <c r="M296" s="3"/>
    </row>
    <row r="297" spans="1:13" ht="28.8" x14ac:dyDescent="0.3">
      <c r="A297" s="2">
        <v>296</v>
      </c>
      <c r="B297" s="2" t="s">
        <v>481</v>
      </c>
      <c r="C297" s="2" t="s">
        <v>500</v>
      </c>
      <c r="D297" s="2">
        <v>607</v>
      </c>
      <c r="E297" s="3" t="s">
        <v>501</v>
      </c>
      <c r="F297" s="3" t="s">
        <v>623</v>
      </c>
      <c r="G297" s="3" t="s">
        <v>624</v>
      </c>
      <c r="H297" s="2" t="s">
        <v>504</v>
      </c>
      <c r="I297" s="4"/>
      <c r="J297" s="4"/>
      <c r="K297" s="4"/>
      <c r="L297" s="5"/>
      <c r="M297" s="3"/>
    </row>
    <row r="298" spans="1:13" x14ac:dyDescent="0.3">
      <c r="A298" s="2">
        <v>297</v>
      </c>
      <c r="B298" s="2" t="s">
        <v>481</v>
      </c>
      <c r="C298" s="2" t="s">
        <v>500</v>
      </c>
      <c r="D298" s="2">
        <v>624</v>
      </c>
      <c r="E298" s="3" t="s">
        <v>501</v>
      </c>
      <c r="F298" s="3" t="s">
        <v>625</v>
      </c>
      <c r="G298" s="3" t="s">
        <v>626</v>
      </c>
      <c r="H298" s="2" t="s">
        <v>504</v>
      </c>
      <c r="I298" s="4"/>
      <c r="J298" s="4"/>
      <c r="K298" s="4"/>
      <c r="L298" s="5"/>
      <c r="M298" s="3"/>
    </row>
    <row r="299" spans="1:13" x14ac:dyDescent="0.3">
      <c r="A299" s="2">
        <v>298</v>
      </c>
      <c r="B299" s="2" t="s">
        <v>481</v>
      </c>
      <c r="C299" s="2" t="s">
        <v>500</v>
      </c>
      <c r="D299" s="2">
        <v>637</v>
      </c>
      <c r="E299" s="3" t="s">
        <v>501</v>
      </c>
      <c r="F299" s="3" t="s">
        <v>627</v>
      </c>
      <c r="G299" s="3" t="s">
        <v>628</v>
      </c>
      <c r="H299" s="2" t="s">
        <v>504</v>
      </c>
      <c r="I299" s="4"/>
      <c r="J299" s="4"/>
      <c r="K299" s="4"/>
      <c r="L299" s="5"/>
      <c r="M299" s="3"/>
    </row>
    <row r="300" spans="1:13" x14ac:dyDescent="0.3">
      <c r="A300" s="2">
        <v>299</v>
      </c>
      <c r="B300" s="2" t="s">
        <v>481</v>
      </c>
      <c r="C300" s="2" t="s">
        <v>500</v>
      </c>
      <c r="D300" s="2">
        <v>644</v>
      </c>
      <c r="E300" s="3" t="s">
        <v>501</v>
      </c>
      <c r="F300" s="3" t="s">
        <v>629</v>
      </c>
      <c r="G300" s="3" t="s">
        <v>630</v>
      </c>
      <c r="H300" s="2" t="s">
        <v>504</v>
      </c>
      <c r="I300" s="4"/>
      <c r="J300" s="4"/>
      <c r="K300" s="4"/>
      <c r="L300" s="5"/>
      <c r="M300" s="3"/>
    </row>
    <row r="301" spans="1:13" x14ac:dyDescent="0.3">
      <c r="A301" s="2">
        <v>300</v>
      </c>
      <c r="B301" s="2" t="s">
        <v>481</v>
      </c>
      <c r="C301" s="2" t="s">
        <v>500</v>
      </c>
      <c r="D301" s="2">
        <v>657</v>
      </c>
      <c r="E301" s="3" t="s">
        <v>501</v>
      </c>
      <c r="F301" s="3" t="s">
        <v>631</v>
      </c>
      <c r="G301" s="3" t="s">
        <v>632</v>
      </c>
      <c r="H301" s="2" t="s">
        <v>504</v>
      </c>
      <c r="I301" s="4"/>
      <c r="J301" s="4"/>
      <c r="K301" s="4"/>
      <c r="L301" s="5"/>
      <c r="M301" s="3"/>
    </row>
    <row r="302" spans="1:13" x14ac:dyDescent="0.3">
      <c r="A302" s="2">
        <v>301</v>
      </c>
      <c r="B302" s="2" t="s">
        <v>481</v>
      </c>
      <c r="C302" s="2" t="s">
        <v>500</v>
      </c>
      <c r="D302" s="2">
        <v>664</v>
      </c>
      <c r="E302" s="3" t="s">
        <v>501</v>
      </c>
      <c r="F302" s="3" t="s">
        <v>633</v>
      </c>
      <c r="G302" s="3" t="s">
        <v>634</v>
      </c>
      <c r="H302" s="2" t="s">
        <v>504</v>
      </c>
      <c r="I302" s="4"/>
      <c r="J302" s="4"/>
      <c r="K302" s="4"/>
      <c r="L302" s="5"/>
      <c r="M302" s="3"/>
    </row>
    <row r="303" spans="1:13" ht="28.8" x14ac:dyDescent="0.3">
      <c r="A303" s="2">
        <v>302</v>
      </c>
      <c r="B303" s="2" t="s">
        <v>481</v>
      </c>
      <c r="C303" s="2" t="s">
        <v>500</v>
      </c>
      <c r="D303" s="2">
        <v>689</v>
      </c>
      <c r="E303" s="3" t="s">
        <v>501</v>
      </c>
      <c r="F303" s="3" t="s">
        <v>635</v>
      </c>
      <c r="G303" s="3" t="s">
        <v>636</v>
      </c>
      <c r="H303" s="2"/>
      <c r="I303" s="4"/>
      <c r="J303" s="4"/>
      <c r="K303" s="4"/>
      <c r="L303" s="5"/>
      <c r="M303" s="3"/>
    </row>
    <row r="304" spans="1:13" ht="28.8" x14ac:dyDescent="0.3">
      <c r="A304" s="2">
        <v>303</v>
      </c>
      <c r="B304" s="2" t="s">
        <v>481</v>
      </c>
      <c r="C304" s="2" t="s">
        <v>500</v>
      </c>
      <c r="D304" s="2">
        <v>689</v>
      </c>
      <c r="E304" s="3" t="s">
        <v>501</v>
      </c>
      <c r="F304" s="3" t="s">
        <v>637</v>
      </c>
      <c r="G304" s="3" t="s">
        <v>638</v>
      </c>
      <c r="H304" s="2"/>
      <c r="I304" s="4"/>
      <c r="J304" s="4"/>
      <c r="K304" s="4"/>
      <c r="L304" s="5"/>
      <c r="M304" s="3"/>
    </row>
    <row r="305" spans="1:13" x14ac:dyDescent="0.3">
      <c r="A305" s="2">
        <v>304</v>
      </c>
      <c r="B305" s="2" t="s">
        <v>481</v>
      </c>
      <c r="C305" s="2" t="s">
        <v>500</v>
      </c>
      <c r="D305" s="2">
        <v>689</v>
      </c>
      <c r="E305" s="3" t="s">
        <v>501</v>
      </c>
      <c r="F305" s="3" t="s">
        <v>639</v>
      </c>
      <c r="G305" s="3" t="s">
        <v>640</v>
      </c>
      <c r="H305" s="2"/>
      <c r="I305" s="4"/>
      <c r="J305" s="4"/>
      <c r="K305" s="4"/>
      <c r="L305" s="5"/>
      <c r="M305" s="3"/>
    </row>
    <row r="306" spans="1:13" x14ac:dyDescent="0.3">
      <c r="A306" s="2">
        <v>305</v>
      </c>
      <c r="B306" s="2" t="s">
        <v>481</v>
      </c>
      <c r="C306" s="2" t="s">
        <v>500</v>
      </c>
      <c r="D306" s="2">
        <v>689</v>
      </c>
      <c r="E306" s="3" t="s">
        <v>501</v>
      </c>
      <c r="F306" s="3" t="s">
        <v>641</v>
      </c>
      <c r="G306" s="3" t="s">
        <v>642</v>
      </c>
      <c r="H306" s="2"/>
      <c r="I306" s="4"/>
      <c r="J306" s="4"/>
      <c r="K306" s="4"/>
      <c r="L306" s="5"/>
      <c r="M306" s="3"/>
    </row>
    <row r="307" spans="1:13" ht="28.8" x14ac:dyDescent="0.3">
      <c r="A307" s="2">
        <v>306</v>
      </c>
      <c r="B307" s="2" t="s">
        <v>481</v>
      </c>
      <c r="C307" s="2" t="s">
        <v>500</v>
      </c>
      <c r="D307" s="2">
        <v>689</v>
      </c>
      <c r="E307" s="3" t="s">
        <v>501</v>
      </c>
      <c r="F307" s="3" t="s">
        <v>643</v>
      </c>
      <c r="G307" s="3" t="s">
        <v>644</v>
      </c>
      <c r="H307" s="2"/>
      <c r="I307" s="4"/>
      <c r="J307" s="4"/>
      <c r="K307" s="4"/>
      <c r="L307" s="5"/>
      <c r="M307" s="3"/>
    </row>
    <row r="308" spans="1:13" ht="28.8" x14ac:dyDescent="0.3">
      <c r="A308" s="2">
        <v>307</v>
      </c>
      <c r="B308" s="2" t="s">
        <v>481</v>
      </c>
      <c r="C308" s="2" t="s">
        <v>500</v>
      </c>
      <c r="D308" s="2">
        <v>689</v>
      </c>
      <c r="E308" s="3" t="s">
        <v>501</v>
      </c>
      <c r="F308" s="3" t="s">
        <v>645</v>
      </c>
      <c r="G308" s="3" t="s">
        <v>646</v>
      </c>
      <c r="H308" s="2"/>
      <c r="I308" s="4"/>
      <c r="J308" s="4"/>
      <c r="K308" s="4"/>
      <c r="L308" s="5"/>
      <c r="M308" s="3"/>
    </row>
    <row r="309" spans="1:13" x14ac:dyDescent="0.3">
      <c r="A309" s="2">
        <v>308</v>
      </c>
      <c r="B309" s="2" t="s">
        <v>481</v>
      </c>
      <c r="C309" s="2" t="s">
        <v>500</v>
      </c>
      <c r="D309" s="2">
        <v>689</v>
      </c>
      <c r="E309" s="3" t="s">
        <v>501</v>
      </c>
      <c r="F309" s="3" t="s">
        <v>647</v>
      </c>
      <c r="G309" s="3" t="s">
        <v>648</v>
      </c>
      <c r="H309" s="2"/>
      <c r="I309" s="4"/>
      <c r="J309" s="4"/>
      <c r="K309" s="4"/>
      <c r="L309" s="5"/>
      <c r="M309" s="3"/>
    </row>
    <row r="310" spans="1:13" x14ac:dyDescent="0.3">
      <c r="A310" s="2">
        <v>309</v>
      </c>
      <c r="B310" s="2" t="s">
        <v>481</v>
      </c>
      <c r="C310" s="2" t="s">
        <v>500</v>
      </c>
      <c r="D310" s="2">
        <v>689</v>
      </c>
      <c r="E310" s="3" t="s">
        <v>501</v>
      </c>
      <c r="F310" s="3" t="s">
        <v>649</v>
      </c>
      <c r="G310" s="3" t="s">
        <v>650</v>
      </c>
      <c r="H310" s="2"/>
      <c r="I310" s="4"/>
      <c r="J310" s="4"/>
      <c r="K310" s="4"/>
      <c r="L310" s="5"/>
      <c r="M310" s="3"/>
    </row>
    <row r="311" spans="1:13" x14ac:dyDescent="0.3">
      <c r="A311" s="2">
        <v>310</v>
      </c>
      <c r="B311" s="2" t="s">
        <v>481</v>
      </c>
      <c r="C311" s="2" t="s">
        <v>500</v>
      </c>
      <c r="D311" s="2">
        <v>689</v>
      </c>
      <c r="E311" s="3" t="s">
        <v>501</v>
      </c>
      <c r="F311" s="3" t="s">
        <v>651</v>
      </c>
      <c r="G311" s="3" t="s">
        <v>652</v>
      </c>
      <c r="H311" s="2"/>
      <c r="I311" s="4"/>
      <c r="J311" s="4"/>
      <c r="K311" s="4"/>
      <c r="L311" s="5"/>
      <c r="M311" s="3"/>
    </row>
    <row r="312" spans="1:13" ht="28.8" x14ac:dyDescent="0.3">
      <c r="A312" s="2">
        <v>311</v>
      </c>
      <c r="B312" s="2" t="s">
        <v>481</v>
      </c>
      <c r="C312" s="2" t="s">
        <v>500</v>
      </c>
      <c r="D312" s="2">
        <v>689</v>
      </c>
      <c r="E312" s="3" t="s">
        <v>501</v>
      </c>
      <c r="F312" s="3" t="s">
        <v>653</v>
      </c>
      <c r="G312" s="3" t="s">
        <v>654</v>
      </c>
      <c r="H312" s="2"/>
      <c r="I312" s="4"/>
      <c r="J312" s="4"/>
      <c r="K312" s="4"/>
      <c r="L312" s="5"/>
      <c r="M312" s="3"/>
    </row>
    <row r="313" spans="1:13" x14ac:dyDescent="0.3">
      <c r="A313" s="2">
        <v>312</v>
      </c>
      <c r="B313" s="2" t="s">
        <v>481</v>
      </c>
      <c r="C313" s="2" t="s">
        <v>500</v>
      </c>
      <c r="D313" s="2">
        <v>689</v>
      </c>
      <c r="E313" s="3" t="s">
        <v>501</v>
      </c>
      <c r="F313" s="3" t="s">
        <v>655</v>
      </c>
      <c r="G313" s="3" t="s">
        <v>656</v>
      </c>
      <c r="H313" s="2"/>
      <c r="I313" s="4"/>
      <c r="J313" s="4"/>
      <c r="K313" s="4"/>
      <c r="L313" s="5"/>
      <c r="M313" s="3"/>
    </row>
    <row r="314" spans="1:13" x14ac:dyDescent="0.3">
      <c r="A314" s="2">
        <v>313</v>
      </c>
      <c r="B314" s="2" t="s">
        <v>481</v>
      </c>
      <c r="C314" s="2" t="s">
        <v>500</v>
      </c>
      <c r="D314" s="2">
        <v>689</v>
      </c>
      <c r="E314" s="3" t="s">
        <v>501</v>
      </c>
      <c r="F314" s="3" t="s">
        <v>657</v>
      </c>
      <c r="G314" s="3" t="s">
        <v>658</v>
      </c>
      <c r="H314" s="2"/>
      <c r="I314" s="4"/>
      <c r="J314" s="4"/>
      <c r="K314" s="4"/>
      <c r="L314" s="5"/>
      <c r="M314" s="3"/>
    </row>
    <row r="315" spans="1:13" x14ac:dyDescent="0.3">
      <c r="A315" s="2">
        <v>314</v>
      </c>
      <c r="B315" s="2" t="s">
        <v>481</v>
      </c>
      <c r="C315" s="2" t="s">
        <v>500</v>
      </c>
      <c r="D315" s="2">
        <v>689</v>
      </c>
      <c r="E315" s="3" t="s">
        <v>501</v>
      </c>
      <c r="F315" s="3" t="s">
        <v>659</v>
      </c>
      <c r="G315" s="3" t="s">
        <v>660</v>
      </c>
      <c r="H315" s="2"/>
      <c r="I315" s="4"/>
      <c r="J315" s="4"/>
      <c r="K315" s="4"/>
      <c r="L315" s="5"/>
      <c r="M315" s="3"/>
    </row>
    <row r="316" spans="1:13" ht="28.8" x14ac:dyDescent="0.3">
      <c r="A316" s="2">
        <v>315</v>
      </c>
      <c r="B316" s="2" t="s">
        <v>481</v>
      </c>
      <c r="C316" s="2" t="s">
        <v>500</v>
      </c>
      <c r="D316" s="2">
        <v>689</v>
      </c>
      <c r="E316" s="3" t="s">
        <v>501</v>
      </c>
      <c r="F316" s="3" t="s">
        <v>661</v>
      </c>
      <c r="G316" s="3" t="s">
        <v>662</v>
      </c>
      <c r="H316" s="2"/>
      <c r="I316" s="4"/>
      <c r="J316" s="4"/>
      <c r="K316" s="4"/>
      <c r="L316" s="5"/>
      <c r="M316" s="3"/>
    </row>
    <row r="317" spans="1:13" ht="28.8" x14ac:dyDescent="0.3">
      <c r="A317" s="2">
        <v>316</v>
      </c>
      <c r="B317" s="2" t="s">
        <v>481</v>
      </c>
      <c r="C317" s="2" t="s">
        <v>663</v>
      </c>
      <c r="D317" s="2">
        <v>61</v>
      </c>
      <c r="E317" s="3" t="s">
        <v>664</v>
      </c>
      <c r="F317" s="3" t="s">
        <v>665</v>
      </c>
      <c r="G317" s="3" t="s">
        <v>666</v>
      </c>
      <c r="H317" s="2" t="s">
        <v>667</v>
      </c>
      <c r="I317" s="4"/>
      <c r="J317" s="4"/>
      <c r="K317" s="4"/>
      <c r="L317" s="5"/>
      <c r="M317" s="3"/>
    </row>
    <row r="318" spans="1:13" ht="28.8" x14ac:dyDescent="0.3">
      <c r="A318" s="2">
        <v>317</v>
      </c>
      <c r="B318" s="2" t="s">
        <v>481</v>
      </c>
      <c r="C318" s="2" t="s">
        <v>663</v>
      </c>
      <c r="D318" s="2">
        <v>70</v>
      </c>
      <c r="E318" s="3" t="s">
        <v>664</v>
      </c>
      <c r="F318" s="3" t="s">
        <v>668</v>
      </c>
      <c r="G318" s="3" t="s">
        <v>669</v>
      </c>
      <c r="H318" s="2" t="s">
        <v>667</v>
      </c>
      <c r="I318" s="4"/>
      <c r="J318" s="4"/>
      <c r="K318" s="4"/>
      <c r="L318" s="5"/>
      <c r="M318" s="3"/>
    </row>
    <row r="319" spans="1:13" ht="43.2" x14ac:dyDescent="0.3">
      <c r="A319" s="2">
        <v>318</v>
      </c>
      <c r="B319" s="2" t="s">
        <v>481</v>
      </c>
      <c r="C319" s="2" t="s">
        <v>663</v>
      </c>
      <c r="D319" s="2">
        <v>84</v>
      </c>
      <c r="E319" s="3" t="s">
        <v>664</v>
      </c>
      <c r="F319" s="3" t="s">
        <v>670</v>
      </c>
      <c r="G319" s="3" t="s">
        <v>671</v>
      </c>
      <c r="H319" s="2" t="s">
        <v>667</v>
      </c>
      <c r="I319" s="4"/>
      <c r="J319" s="4"/>
      <c r="K319" s="4"/>
      <c r="L319" s="5"/>
      <c r="M319" s="3"/>
    </row>
    <row r="320" spans="1:13" ht="28.8" x14ac:dyDescent="0.3">
      <c r="A320" s="2">
        <v>319</v>
      </c>
      <c r="B320" s="2" t="s">
        <v>481</v>
      </c>
      <c r="C320" s="2" t="s">
        <v>663</v>
      </c>
      <c r="D320" s="2">
        <v>102</v>
      </c>
      <c r="E320" s="3" t="s">
        <v>664</v>
      </c>
      <c r="F320" s="3" t="s">
        <v>672</v>
      </c>
      <c r="G320" s="3" t="s">
        <v>673</v>
      </c>
      <c r="H320" s="2" t="s">
        <v>667</v>
      </c>
      <c r="I320" s="4"/>
      <c r="J320" s="4"/>
      <c r="K320" s="4"/>
      <c r="L320" s="5"/>
      <c r="M320" s="3"/>
    </row>
    <row r="321" spans="1:13" ht="57.6" x14ac:dyDescent="0.3">
      <c r="A321" s="2">
        <v>320</v>
      </c>
      <c r="B321" s="2" t="s">
        <v>481</v>
      </c>
      <c r="C321" s="2" t="s">
        <v>663</v>
      </c>
      <c r="D321" s="2">
        <v>115</v>
      </c>
      <c r="E321" s="3" t="s">
        <v>664</v>
      </c>
      <c r="F321" s="3" t="s">
        <v>674</v>
      </c>
      <c r="G321" s="3" t="s">
        <v>675</v>
      </c>
      <c r="H321" s="2" t="s">
        <v>667</v>
      </c>
      <c r="I321" s="4"/>
      <c r="J321" s="4"/>
      <c r="K321" s="4"/>
      <c r="L321" s="5"/>
      <c r="M321" s="3"/>
    </row>
    <row r="322" spans="1:13" ht="28.8" x14ac:dyDescent="0.3">
      <c r="A322" s="2">
        <v>321</v>
      </c>
      <c r="B322" s="2" t="s">
        <v>481</v>
      </c>
      <c r="C322" s="2" t="s">
        <v>663</v>
      </c>
      <c r="D322" s="2">
        <v>134</v>
      </c>
      <c r="E322" s="3" t="s">
        <v>664</v>
      </c>
      <c r="F322" s="3" t="s">
        <v>676</v>
      </c>
      <c r="G322" s="3" t="s">
        <v>677</v>
      </c>
      <c r="H322" s="2" t="s">
        <v>667</v>
      </c>
      <c r="I322" s="4"/>
      <c r="J322" s="4"/>
      <c r="K322" s="4"/>
      <c r="L322" s="5"/>
      <c r="M322" s="3"/>
    </row>
    <row r="323" spans="1:13" ht="28.8" x14ac:dyDescent="0.3">
      <c r="A323" s="2">
        <v>322</v>
      </c>
      <c r="B323" s="2" t="s">
        <v>481</v>
      </c>
      <c r="C323" s="2" t="s">
        <v>663</v>
      </c>
      <c r="D323" s="2">
        <v>148</v>
      </c>
      <c r="E323" s="3" t="s">
        <v>664</v>
      </c>
      <c r="F323" s="3" t="s">
        <v>678</v>
      </c>
      <c r="G323" s="3" t="s">
        <v>679</v>
      </c>
      <c r="H323" s="2" t="s">
        <v>667</v>
      </c>
      <c r="I323" s="4"/>
      <c r="J323" s="4"/>
      <c r="K323" s="4"/>
      <c r="L323" s="5"/>
      <c r="M323" s="3"/>
    </row>
    <row r="324" spans="1:13" x14ac:dyDescent="0.3">
      <c r="A324" s="2">
        <v>323</v>
      </c>
      <c r="B324" s="2" t="s">
        <v>481</v>
      </c>
      <c r="C324" s="2" t="s">
        <v>663</v>
      </c>
      <c r="D324" s="2">
        <v>155</v>
      </c>
      <c r="E324" s="3" t="s">
        <v>664</v>
      </c>
      <c r="F324" s="3" t="s">
        <v>680</v>
      </c>
      <c r="G324" s="3" t="s">
        <v>681</v>
      </c>
      <c r="H324" s="2" t="s">
        <v>667</v>
      </c>
      <c r="I324" s="4"/>
      <c r="J324" s="4"/>
      <c r="K324" s="4"/>
      <c r="L324" s="5"/>
      <c r="M324" s="3"/>
    </row>
    <row r="325" spans="1:13" x14ac:dyDescent="0.3">
      <c r="A325" s="2">
        <v>324</v>
      </c>
      <c r="B325" s="2" t="s">
        <v>481</v>
      </c>
      <c r="C325" s="2" t="s">
        <v>663</v>
      </c>
      <c r="D325" s="2">
        <v>163</v>
      </c>
      <c r="E325" s="3" t="s">
        <v>664</v>
      </c>
      <c r="F325" s="3" t="s">
        <v>682</v>
      </c>
      <c r="G325" s="3" t="s">
        <v>683</v>
      </c>
      <c r="H325" s="2" t="s">
        <v>667</v>
      </c>
      <c r="I325" s="4"/>
      <c r="J325" s="4"/>
      <c r="K325" s="4"/>
      <c r="L325" s="5"/>
      <c r="M325" s="3"/>
    </row>
    <row r="326" spans="1:13" ht="28.8" x14ac:dyDescent="0.3">
      <c r="A326" s="2">
        <v>325</v>
      </c>
      <c r="B326" s="2" t="s">
        <v>481</v>
      </c>
      <c r="C326" s="2" t="s">
        <v>663</v>
      </c>
      <c r="D326" s="2">
        <v>174</v>
      </c>
      <c r="E326" s="3" t="s">
        <v>664</v>
      </c>
      <c r="F326" s="3" t="s">
        <v>684</v>
      </c>
      <c r="G326" s="3" t="s">
        <v>685</v>
      </c>
      <c r="H326" s="2" t="s">
        <v>667</v>
      </c>
      <c r="I326" s="4"/>
      <c r="J326" s="4"/>
      <c r="K326" s="4"/>
      <c r="L326" s="5"/>
      <c r="M326" s="3"/>
    </row>
    <row r="327" spans="1:13" x14ac:dyDescent="0.3">
      <c r="A327" s="2">
        <v>326</v>
      </c>
      <c r="B327" s="2" t="s">
        <v>481</v>
      </c>
      <c r="C327" s="2" t="s">
        <v>663</v>
      </c>
      <c r="D327" s="2">
        <v>190</v>
      </c>
      <c r="E327" s="3" t="s">
        <v>664</v>
      </c>
      <c r="F327" s="3" t="s">
        <v>686</v>
      </c>
      <c r="G327" s="3" t="s">
        <v>687</v>
      </c>
      <c r="H327" s="2" t="s">
        <v>667</v>
      </c>
      <c r="I327" s="4"/>
      <c r="J327" s="4"/>
      <c r="K327" s="4"/>
      <c r="L327" s="5"/>
      <c r="M327" s="3"/>
    </row>
    <row r="328" spans="1:13" ht="28.8" x14ac:dyDescent="0.3">
      <c r="A328" s="2">
        <v>327</v>
      </c>
      <c r="B328" s="2" t="s">
        <v>481</v>
      </c>
      <c r="C328" s="2" t="s">
        <v>663</v>
      </c>
      <c r="D328" s="2">
        <v>218</v>
      </c>
      <c r="E328" s="3" t="s">
        <v>664</v>
      </c>
      <c r="F328" s="3" t="s">
        <v>688</v>
      </c>
      <c r="G328" s="3" t="s">
        <v>689</v>
      </c>
      <c r="H328" s="2" t="s">
        <v>667</v>
      </c>
      <c r="I328" s="4"/>
      <c r="J328" s="4"/>
      <c r="K328" s="4"/>
      <c r="L328" s="5"/>
      <c r="M328" s="3"/>
    </row>
    <row r="329" spans="1:13" ht="28.8" x14ac:dyDescent="0.3">
      <c r="A329" s="2">
        <v>328</v>
      </c>
      <c r="B329" s="2" t="s">
        <v>481</v>
      </c>
      <c r="C329" s="2" t="s">
        <v>663</v>
      </c>
      <c r="D329" s="2">
        <v>218</v>
      </c>
      <c r="E329" s="3" t="s">
        <v>664</v>
      </c>
      <c r="F329" s="3" t="s">
        <v>690</v>
      </c>
      <c r="G329" s="3" t="s">
        <v>691</v>
      </c>
      <c r="H329" s="2" t="s">
        <v>667</v>
      </c>
      <c r="I329" s="4"/>
      <c r="J329" s="4"/>
      <c r="K329" s="4"/>
      <c r="L329" s="5"/>
      <c r="M329" s="3"/>
    </row>
    <row r="330" spans="1:13" x14ac:dyDescent="0.3">
      <c r="A330" s="2">
        <v>329</v>
      </c>
      <c r="B330" s="2" t="s">
        <v>481</v>
      </c>
      <c r="C330" s="2" t="s">
        <v>663</v>
      </c>
      <c r="D330" s="2">
        <v>218</v>
      </c>
      <c r="E330" s="3" t="s">
        <v>664</v>
      </c>
      <c r="F330" s="3" t="s">
        <v>692</v>
      </c>
      <c r="G330" s="3" t="s">
        <v>693</v>
      </c>
      <c r="H330" s="2" t="s">
        <v>667</v>
      </c>
      <c r="I330" s="4"/>
      <c r="J330" s="4"/>
      <c r="K330" s="4"/>
      <c r="L330" s="5"/>
      <c r="M330" s="3"/>
    </row>
    <row r="331" spans="1:13" x14ac:dyDescent="0.3">
      <c r="A331" s="2">
        <v>330</v>
      </c>
      <c r="B331" s="2" t="s">
        <v>481</v>
      </c>
      <c r="C331" s="2" t="s">
        <v>663</v>
      </c>
      <c r="D331" s="2">
        <v>218</v>
      </c>
      <c r="E331" s="3" t="s">
        <v>664</v>
      </c>
      <c r="F331" s="3" t="s">
        <v>694</v>
      </c>
      <c r="G331" s="3" t="s">
        <v>695</v>
      </c>
      <c r="H331" s="2" t="s">
        <v>667</v>
      </c>
      <c r="I331" s="4"/>
      <c r="J331" s="4"/>
      <c r="K331" s="4"/>
      <c r="L331" s="5"/>
      <c r="M331" s="3"/>
    </row>
    <row r="332" spans="1:13" ht="28.8" x14ac:dyDescent="0.3">
      <c r="A332" s="2">
        <v>331</v>
      </c>
      <c r="B332" s="2" t="s">
        <v>481</v>
      </c>
      <c r="C332" s="2" t="s">
        <v>663</v>
      </c>
      <c r="D332" s="2">
        <v>218</v>
      </c>
      <c r="E332" s="3" t="s">
        <v>664</v>
      </c>
      <c r="F332" s="3" t="s">
        <v>696</v>
      </c>
      <c r="G332" s="3" t="s">
        <v>697</v>
      </c>
      <c r="H332" s="2" t="s">
        <v>667</v>
      </c>
      <c r="I332" s="4"/>
      <c r="J332" s="4"/>
      <c r="K332" s="4"/>
      <c r="L332" s="5"/>
      <c r="M332" s="3"/>
    </row>
    <row r="333" spans="1:13" ht="28.8" x14ac:dyDescent="0.3">
      <c r="A333" s="2">
        <v>332</v>
      </c>
      <c r="B333" s="2" t="s">
        <v>481</v>
      </c>
      <c r="C333" s="2" t="s">
        <v>663</v>
      </c>
      <c r="D333" s="2">
        <v>218</v>
      </c>
      <c r="E333" s="3" t="s">
        <v>664</v>
      </c>
      <c r="F333" s="3" t="s">
        <v>698</v>
      </c>
      <c r="G333" s="3" t="s">
        <v>699</v>
      </c>
      <c r="H333" s="2" t="s">
        <v>667</v>
      </c>
      <c r="I333" s="4"/>
      <c r="J333" s="4"/>
      <c r="K333" s="4"/>
      <c r="L333" s="5"/>
      <c r="M333" s="3"/>
    </row>
    <row r="334" spans="1:13" x14ac:dyDescent="0.3">
      <c r="A334" s="2">
        <v>333</v>
      </c>
      <c r="B334" s="2" t="s">
        <v>481</v>
      </c>
      <c r="C334" s="2" t="s">
        <v>663</v>
      </c>
      <c r="D334" s="2">
        <v>218</v>
      </c>
      <c r="E334" s="3" t="s">
        <v>664</v>
      </c>
      <c r="F334" s="3" t="s">
        <v>700</v>
      </c>
      <c r="G334" s="3" t="s">
        <v>701</v>
      </c>
      <c r="H334" s="2" t="s">
        <v>667</v>
      </c>
      <c r="I334" s="4"/>
      <c r="J334" s="4"/>
      <c r="K334" s="4"/>
      <c r="L334" s="5"/>
      <c r="M334" s="3"/>
    </row>
    <row r="335" spans="1:13" x14ac:dyDescent="0.3">
      <c r="A335" s="2">
        <v>334</v>
      </c>
      <c r="B335" s="2" t="s">
        <v>481</v>
      </c>
      <c r="C335" s="2" t="s">
        <v>663</v>
      </c>
      <c r="D335" s="2">
        <v>218</v>
      </c>
      <c r="E335" s="3" t="s">
        <v>664</v>
      </c>
      <c r="F335" s="3" t="s">
        <v>702</v>
      </c>
      <c r="G335" s="3" t="s">
        <v>703</v>
      </c>
      <c r="H335" s="2" t="s">
        <v>667</v>
      </c>
      <c r="I335" s="4"/>
      <c r="J335" s="4"/>
      <c r="K335" s="4"/>
      <c r="L335" s="5"/>
      <c r="M335" s="3"/>
    </row>
    <row r="336" spans="1:13" ht="28.8" x14ac:dyDescent="0.3">
      <c r="A336" s="2">
        <v>335</v>
      </c>
      <c r="B336" s="2" t="s">
        <v>481</v>
      </c>
      <c r="C336" s="2" t="s">
        <v>663</v>
      </c>
      <c r="D336" s="2">
        <v>218</v>
      </c>
      <c r="E336" s="3" t="s">
        <v>664</v>
      </c>
      <c r="F336" s="3" t="s">
        <v>704</v>
      </c>
      <c r="G336" s="3" t="s">
        <v>705</v>
      </c>
      <c r="H336" s="2" t="s">
        <v>667</v>
      </c>
      <c r="I336" s="4"/>
      <c r="J336" s="4"/>
      <c r="K336" s="4"/>
      <c r="L336" s="5"/>
      <c r="M336" s="3"/>
    </row>
    <row r="337" spans="1:13" ht="28.8" x14ac:dyDescent="0.3">
      <c r="A337" s="2">
        <v>336</v>
      </c>
      <c r="B337" s="2" t="s">
        <v>481</v>
      </c>
      <c r="C337" s="2" t="s">
        <v>663</v>
      </c>
      <c r="D337" s="2">
        <v>218</v>
      </c>
      <c r="E337" s="3" t="s">
        <v>664</v>
      </c>
      <c r="F337" s="3" t="s">
        <v>706</v>
      </c>
      <c r="G337" s="3" t="s">
        <v>707</v>
      </c>
      <c r="H337" s="2" t="s">
        <v>667</v>
      </c>
      <c r="I337" s="4"/>
      <c r="J337" s="4"/>
      <c r="K337" s="4"/>
      <c r="L337" s="5"/>
      <c r="M337" s="3"/>
    </row>
    <row r="338" spans="1:13" ht="28.8" x14ac:dyDescent="0.3">
      <c r="A338" s="2">
        <v>337</v>
      </c>
      <c r="B338" s="2" t="s">
        <v>481</v>
      </c>
      <c r="C338" s="2" t="s">
        <v>663</v>
      </c>
      <c r="D338" s="2">
        <v>218</v>
      </c>
      <c r="E338" s="3" t="s">
        <v>664</v>
      </c>
      <c r="F338" s="3" t="s">
        <v>708</v>
      </c>
      <c r="G338" s="3" t="s">
        <v>709</v>
      </c>
      <c r="H338" s="2" t="s">
        <v>667</v>
      </c>
      <c r="I338" s="4"/>
      <c r="J338" s="4"/>
      <c r="K338" s="4"/>
      <c r="L338" s="5"/>
      <c r="M338" s="3"/>
    </row>
    <row r="339" spans="1:13" ht="28.8" x14ac:dyDescent="0.3">
      <c r="A339" s="2">
        <v>338</v>
      </c>
      <c r="B339" s="2" t="s">
        <v>481</v>
      </c>
      <c r="C339" s="2" t="s">
        <v>663</v>
      </c>
      <c r="D339" s="2">
        <v>218</v>
      </c>
      <c r="E339" s="3" t="s">
        <v>664</v>
      </c>
      <c r="F339" s="3" t="s">
        <v>710</v>
      </c>
      <c r="G339" s="3" t="s">
        <v>711</v>
      </c>
      <c r="H339" s="2" t="s">
        <v>667</v>
      </c>
      <c r="I339" s="4"/>
      <c r="J339" s="4"/>
      <c r="K339" s="4"/>
      <c r="L339" s="5"/>
      <c r="M339" s="3"/>
    </row>
    <row r="340" spans="1:13" x14ac:dyDescent="0.3">
      <c r="A340" s="2">
        <v>339</v>
      </c>
      <c r="B340" s="2" t="s">
        <v>481</v>
      </c>
      <c r="C340" s="2" t="s">
        <v>663</v>
      </c>
      <c r="D340" s="2">
        <v>218</v>
      </c>
      <c r="E340" s="3" t="s">
        <v>664</v>
      </c>
      <c r="F340" s="3" t="s">
        <v>712</v>
      </c>
      <c r="G340" s="3" t="s">
        <v>713</v>
      </c>
      <c r="H340" s="2" t="s">
        <v>667</v>
      </c>
      <c r="I340" s="4"/>
      <c r="J340" s="4"/>
      <c r="K340" s="4"/>
      <c r="L340" s="5"/>
      <c r="M340" s="3"/>
    </row>
    <row r="341" spans="1:13" x14ac:dyDescent="0.3">
      <c r="A341" s="2">
        <v>340</v>
      </c>
      <c r="B341" s="2" t="s">
        <v>481</v>
      </c>
      <c r="C341" s="2" t="s">
        <v>663</v>
      </c>
      <c r="D341" s="2">
        <v>225</v>
      </c>
      <c r="E341" s="3" t="s">
        <v>664</v>
      </c>
      <c r="F341" s="3" t="s">
        <v>714</v>
      </c>
      <c r="G341" s="3" t="s">
        <v>715</v>
      </c>
      <c r="H341" s="2" t="s">
        <v>667</v>
      </c>
      <c r="I341" s="4"/>
      <c r="J341" s="4"/>
      <c r="K341" s="4"/>
      <c r="L341" s="5"/>
      <c r="M341" s="3"/>
    </row>
    <row r="342" spans="1:13" ht="28.8" x14ac:dyDescent="0.3">
      <c r="A342" s="2">
        <v>341</v>
      </c>
      <c r="B342" s="2" t="s">
        <v>481</v>
      </c>
      <c r="C342" s="2" t="s">
        <v>663</v>
      </c>
      <c r="D342" s="2">
        <v>233</v>
      </c>
      <c r="E342" s="3" t="s">
        <v>664</v>
      </c>
      <c r="F342" s="3" t="s">
        <v>716</v>
      </c>
      <c r="G342" s="3" t="s">
        <v>717</v>
      </c>
      <c r="H342" s="2" t="s">
        <v>667</v>
      </c>
      <c r="I342" s="4"/>
      <c r="J342" s="4"/>
      <c r="K342" s="4"/>
      <c r="L342" s="5"/>
      <c r="M342" s="3"/>
    </row>
    <row r="343" spans="1:13" x14ac:dyDescent="0.3">
      <c r="A343" s="2">
        <v>342</v>
      </c>
      <c r="B343" s="2" t="s">
        <v>481</v>
      </c>
      <c r="C343" s="2" t="s">
        <v>663</v>
      </c>
      <c r="D343" s="2">
        <v>242</v>
      </c>
      <c r="E343" s="3" t="s">
        <v>664</v>
      </c>
      <c r="F343" s="3" t="s">
        <v>718</v>
      </c>
      <c r="G343" s="3" t="s">
        <v>719</v>
      </c>
      <c r="H343" s="2" t="s">
        <v>667</v>
      </c>
      <c r="I343" s="4"/>
      <c r="J343" s="4"/>
      <c r="K343" s="4"/>
      <c r="L343" s="5"/>
      <c r="M343" s="3"/>
    </row>
    <row r="344" spans="1:13" x14ac:dyDescent="0.3">
      <c r="A344" s="2">
        <v>343</v>
      </c>
      <c r="B344" s="2" t="s">
        <v>481</v>
      </c>
      <c r="C344" s="2" t="s">
        <v>663</v>
      </c>
      <c r="D344" s="2">
        <v>252</v>
      </c>
      <c r="E344" s="3" t="s">
        <v>664</v>
      </c>
      <c r="F344" s="3" t="s">
        <v>720</v>
      </c>
      <c r="G344" s="3" t="s">
        <v>721</v>
      </c>
      <c r="H344" s="2" t="s">
        <v>667</v>
      </c>
      <c r="I344" s="4"/>
      <c r="J344" s="4"/>
      <c r="K344" s="4"/>
      <c r="L344" s="5"/>
      <c r="M344" s="3"/>
    </row>
    <row r="345" spans="1:13" ht="28.8" x14ac:dyDescent="0.3">
      <c r="A345" s="2">
        <v>344</v>
      </c>
      <c r="B345" s="2" t="s">
        <v>481</v>
      </c>
      <c r="C345" s="2" t="s">
        <v>663</v>
      </c>
      <c r="D345" s="2">
        <v>263</v>
      </c>
      <c r="E345" s="3" t="s">
        <v>664</v>
      </c>
      <c r="F345" s="3" t="s">
        <v>722</v>
      </c>
      <c r="G345" s="3" t="s">
        <v>723</v>
      </c>
      <c r="H345" s="2" t="s">
        <v>667</v>
      </c>
      <c r="I345" s="4"/>
      <c r="J345" s="4"/>
      <c r="K345" s="4"/>
      <c r="L345" s="5"/>
      <c r="M345" s="3"/>
    </row>
    <row r="346" spans="1:13" ht="72" x14ac:dyDescent="0.3">
      <c r="A346" s="2">
        <v>345</v>
      </c>
      <c r="B346" s="2" t="s">
        <v>481</v>
      </c>
      <c r="C346" s="2" t="s">
        <v>663</v>
      </c>
      <c r="D346" s="2">
        <v>277</v>
      </c>
      <c r="E346" s="3" t="s">
        <v>664</v>
      </c>
      <c r="F346" s="3" t="s">
        <v>724</v>
      </c>
      <c r="G346" s="3" t="s">
        <v>725</v>
      </c>
      <c r="H346" s="2" t="s">
        <v>667</v>
      </c>
      <c r="I346" s="4"/>
      <c r="J346" s="4"/>
      <c r="K346" s="4"/>
      <c r="L346" s="5"/>
      <c r="M346" s="3"/>
    </row>
    <row r="347" spans="1:13" x14ac:dyDescent="0.3">
      <c r="A347" s="2">
        <v>346</v>
      </c>
      <c r="B347" s="2" t="s">
        <v>481</v>
      </c>
      <c r="C347" s="2" t="s">
        <v>663</v>
      </c>
      <c r="D347" s="2">
        <v>294</v>
      </c>
      <c r="E347" s="3" t="s">
        <v>664</v>
      </c>
      <c r="F347" s="3" t="s">
        <v>726</v>
      </c>
      <c r="G347" s="3" t="s">
        <v>727</v>
      </c>
      <c r="H347" s="2" t="s">
        <v>667</v>
      </c>
      <c r="I347" s="4"/>
      <c r="J347" s="4"/>
      <c r="K347" s="4"/>
      <c r="L347" s="5"/>
      <c r="M347" s="3"/>
    </row>
    <row r="348" spans="1:13" x14ac:dyDescent="0.3">
      <c r="A348" s="2">
        <v>347</v>
      </c>
      <c r="B348" s="2" t="s">
        <v>481</v>
      </c>
      <c r="C348" s="2" t="s">
        <v>663</v>
      </c>
      <c r="D348" s="2">
        <v>303</v>
      </c>
      <c r="E348" s="3" t="s">
        <v>664</v>
      </c>
      <c r="F348" s="3" t="s">
        <v>728</v>
      </c>
      <c r="G348" s="3" t="s">
        <v>729</v>
      </c>
      <c r="H348" s="2" t="s">
        <v>667</v>
      </c>
      <c r="I348" s="4"/>
      <c r="J348" s="4"/>
      <c r="K348" s="4"/>
      <c r="L348" s="5"/>
      <c r="M348" s="3"/>
    </row>
    <row r="349" spans="1:13" x14ac:dyDescent="0.3">
      <c r="A349" s="2">
        <v>348</v>
      </c>
      <c r="B349" s="2" t="s">
        <v>481</v>
      </c>
      <c r="C349" s="2" t="s">
        <v>663</v>
      </c>
      <c r="D349" s="2">
        <v>314</v>
      </c>
      <c r="E349" s="3" t="s">
        <v>664</v>
      </c>
      <c r="F349" s="3" t="s">
        <v>730</v>
      </c>
      <c r="G349" s="3" t="s">
        <v>731</v>
      </c>
      <c r="H349" s="2" t="s">
        <v>667</v>
      </c>
      <c r="I349" s="4"/>
      <c r="J349" s="4"/>
      <c r="K349" s="4"/>
      <c r="L349" s="5"/>
      <c r="M349" s="3"/>
    </row>
    <row r="350" spans="1:13" x14ac:dyDescent="0.3">
      <c r="A350" s="2">
        <v>349</v>
      </c>
      <c r="B350" s="2" t="s">
        <v>481</v>
      </c>
      <c r="C350" s="2" t="s">
        <v>663</v>
      </c>
      <c r="D350" s="2">
        <v>324</v>
      </c>
      <c r="E350" s="3" t="s">
        <v>664</v>
      </c>
      <c r="F350" s="3" t="s">
        <v>732</v>
      </c>
      <c r="G350" s="3" t="s">
        <v>733</v>
      </c>
      <c r="H350" s="2" t="s">
        <v>667</v>
      </c>
      <c r="I350" s="4"/>
      <c r="J350" s="4"/>
      <c r="K350" s="4"/>
      <c r="L350" s="5"/>
      <c r="M350" s="3"/>
    </row>
    <row r="351" spans="1:13" x14ac:dyDescent="0.3">
      <c r="A351" s="2">
        <v>350</v>
      </c>
      <c r="B351" s="2" t="s">
        <v>481</v>
      </c>
      <c r="C351" s="2" t="s">
        <v>663</v>
      </c>
      <c r="D351" s="2">
        <v>334</v>
      </c>
      <c r="E351" s="3" t="s">
        <v>664</v>
      </c>
      <c r="F351" s="3" t="s">
        <v>734</v>
      </c>
      <c r="G351" s="3" t="s">
        <v>735</v>
      </c>
      <c r="H351" s="2" t="s">
        <v>667</v>
      </c>
      <c r="I351" s="4"/>
      <c r="J351" s="4"/>
      <c r="K351" s="4"/>
      <c r="L351" s="5"/>
      <c r="M351" s="3"/>
    </row>
    <row r="352" spans="1:13" x14ac:dyDescent="0.3">
      <c r="A352" s="2">
        <v>351</v>
      </c>
      <c r="B352" s="2" t="s">
        <v>481</v>
      </c>
      <c r="C352" s="2" t="s">
        <v>663</v>
      </c>
      <c r="D352" s="2">
        <v>334</v>
      </c>
      <c r="E352" s="3" t="s">
        <v>664</v>
      </c>
      <c r="F352" s="3" t="s">
        <v>736</v>
      </c>
      <c r="G352" s="3" t="s">
        <v>737</v>
      </c>
      <c r="H352" s="2" t="s">
        <v>667</v>
      </c>
      <c r="I352" s="4"/>
      <c r="J352" s="4"/>
      <c r="K352" s="4"/>
      <c r="L352" s="5"/>
      <c r="M352" s="3"/>
    </row>
    <row r="353" spans="1:13" x14ac:dyDescent="0.3">
      <c r="A353" s="2">
        <v>352</v>
      </c>
      <c r="B353" s="2" t="s">
        <v>481</v>
      </c>
      <c r="C353" s="2" t="s">
        <v>663</v>
      </c>
      <c r="D353" s="2">
        <v>334</v>
      </c>
      <c r="E353" s="3" t="s">
        <v>664</v>
      </c>
      <c r="F353" s="3" t="s">
        <v>738</v>
      </c>
      <c r="G353" s="3" t="s">
        <v>739</v>
      </c>
      <c r="H353" s="2" t="s">
        <v>667</v>
      </c>
      <c r="I353" s="4"/>
      <c r="J353" s="4"/>
      <c r="K353" s="4"/>
      <c r="L353" s="5"/>
      <c r="M353" s="3"/>
    </row>
    <row r="354" spans="1:13" x14ac:dyDescent="0.3">
      <c r="A354" s="2">
        <v>353</v>
      </c>
      <c r="B354" s="2" t="s">
        <v>481</v>
      </c>
      <c r="C354" s="2" t="s">
        <v>663</v>
      </c>
      <c r="D354" s="2">
        <v>334</v>
      </c>
      <c r="E354" s="3" t="s">
        <v>664</v>
      </c>
      <c r="F354" s="3" t="s">
        <v>740</v>
      </c>
      <c r="G354" s="3" t="s">
        <v>741</v>
      </c>
      <c r="H354" s="2" t="s">
        <v>667</v>
      </c>
      <c r="I354" s="4"/>
      <c r="J354" s="4"/>
      <c r="K354" s="4"/>
      <c r="L354" s="5"/>
      <c r="M354" s="3"/>
    </row>
    <row r="355" spans="1:13" x14ac:dyDescent="0.3">
      <c r="A355" s="2">
        <v>354</v>
      </c>
      <c r="B355" s="2" t="s">
        <v>481</v>
      </c>
      <c r="C355" s="2" t="s">
        <v>663</v>
      </c>
      <c r="D355" s="2">
        <v>334</v>
      </c>
      <c r="E355" s="3" t="s">
        <v>664</v>
      </c>
      <c r="F355" s="3" t="s">
        <v>742</v>
      </c>
      <c r="G355" s="3" t="s">
        <v>743</v>
      </c>
      <c r="H355" s="2" t="s">
        <v>667</v>
      </c>
      <c r="I355" s="4"/>
      <c r="J355" s="4"/>
      <c r="K355" s="4"/>
      <c r="L355" s="5"/>
      <c r="M355" s="3"/>
    </row>
    <row r="356" spans="1:13" x14ac:dyDescent="0.3">
      <c r="A356" s="2">
        <v>355</v>
      </c>
      <c r="B356" s="2" t="s">
        <v>481</v>
      </c>
      <c r="C356" s="2" t="s">
        <v>663</v>
      </c>
      <c r="D356" s="2">
        <v>343</v>
      </c>
      <c r="E356" s="3" t="s">
        <v>664</v>
      </c>
      <c r="F356" s="3" t="s">
        <v>744</v>
      </c>
      <c r="G356" s="3" t="s">
        <v>745</v>
      </c>
      <c r="H356" s="2" t="s">
        <v>667</v>
      </c>
      <c r="I356" s="4"/>
      <c r="J356" s="4"/>
      <c r="K356" s="4"/>
      <c r="L356" s="5"/>
      <c r="M356" s="3"/>
    </row>
    <row r="357" spans="1:13" x14ac:dyDescent="0.3">
      <c r="A357" s="2">
        <v>356</v>
      </c>
      <c r="B357" s="2" t="s">
        <v>481</v>
      </c>
      <c r="C357" s="2" t="s">
        <v>663</v>
      </c>
      <c r="D357" s="2">
        <v>351</v>
      </c>
      <c r="E357" s="3" t="s">
        <v>664</v>
      </c>
      <c r="F357" s="3" t="s">
        <v>746</v>
      </c>
      <c r="G357" s="3" t="s">
        <v>747</v>
      </c>
      <c r="H357" s="2" t="s">
        <v>667</v>
      </c>
      <c r="I357" s="4"/>
      <c r="J357" s="4"/>
      <c r="K357" s="4"/>
      <c r="L357" s="5"/>
      <c r="M357" s="3"/>
    </row>
    <row r="358" spans="1:13" x14ac:dyDescent="0.3">
      <c r="A358" s="2">
        <v>357</v>
      </c>
      <c r="B358" s="2" t="s">
        <v>481</v>
      </c>
      <c r="C358" s="2" t="s">
        <v>663</v>
      </c>
      <c r="D358" s="2">
        <v>359</v>
      </c>
      <c r="E358" s="3" t="s">
        <v>664</v>
      </c>
      <c r="F358" s="3" t="s">
        <v>748</v>
      </c>
      <c r="G358" s="3" t="s">
        <v>749</v>
      </c>
      <c r="H358" s="2" t="s">
        <v>667</v>
      </c>
      <c r="I358" s="4"/>
      <c r="J358" s="4"/>
      <c r="K358" s="4"/>
      <c r="L358" s="5"/>
      <c r="M358" s="3"/>
    </row>
    <row r="359" spans="1:13" x14ac:dyDescent="0.3">
      <c r="A359" s="2">
        <v>358</v>
      </c>
      <c r="B359" s="2" t="s">
        <v>481</v>
      </c>
      <c r="C359" s="2" t="s">
        <v>663</v>
      </c>
      <c r="D359" s="2">
        <v>368</v>
      </c>
      <c r="E359" s="3" t="s">
        <v>664</v>
      </c>
      <c r="F359" s="3" t="s">
        <v>750</v>
      </c>
      <c r="G359" s="3" t="s">
        <v>751</v>
      </c>
      <c r="H359" s="2" t="s">
        <v>667</v>
      </c>
      <c r="I359" s="4"/>
      <c r="J359" s="4"/>
      <c r="K359" s="4"/>
      <c r="L359" s="5"/>
      <c r="M359" s="3"/>
    </row>
    <row r="360" spans="1:13" ht="28.8" x14ac:dyDescent="0.3">
      <c r="A360" s="2">
        <v>359</v>
      </c>
      <c r="B360" s="2" t="s">
        <v>481</v>
      </c>
      <c r="C360" s="2" t="s">
        <v>663</v>
      </c>
      <c r="D360" s="2">
        <v>379</v>
      </c>
      <c r="E360" s="3" t="s">
        <v>664</v>
      </c>
      <c r="F360" s="3" t="s">
        <v>752</v>
      </c>
      <c r="G360" s="3" t="s">
        <v>753</v>
      </c>
      <c r="H360" s="2" t="s">
        <v>667</v>
      </c>
      <c r="I360" s="4"/>
      <c r="J360" s="4"/>
      <c r="K360" s="4"/>
      <c r="L360" s="5"/>
      <c r="M360" s="3"/>
    </row>
    <row r="361" spans="1:13" x14ac:dyDescent="0.3">
      <c r="A361" s="2">
        <v>360</v>
      </c>
      <c r="B361" s="2" t="s">
        <v>481</v>
      </c>
      <c r="C361" s="2" t="s">
        <v>663</v>
      </c>
      <c r="D361" s="2">
        <v>391</v>
      </c>
      <c r="E361" s="3" t="s">
        <v>664</v>
      </c>
      <c r="F361" s="3" t="s">
        <v>754</v>
      </c>
      <c r="G361" s="3" t="s">
        <v>755</v>
      </c>
      <c r="H361" s="2" t="s">
        <v>667</v>
      </c>
      <c r="I361" s="4"/>
      <c r="J361" s="4"/>
      <c r="K361" s="4"/>
      <c r="L361" s="5"/>
      <c r="M361" s="3"/>
    </row>
    <row r="362" spans="1:13" ht="43.2" x14ac:dyDescent="0.3">
      <c r="A362" s="2">
        <v>361</v>
      </c>
      <c r="B362" s="2" t="s">
        <v>481</v>
      </c>
      <c r="C362" s="2" t="s">
        <v>663</v>
      </c>
      <c r="D362" s="2">
        <v>399</v>
      </c>
      <c r="E362" s="3" t="s">
        <v>664</v>
      </c>
      <c r="F362" s="3" t="s">
        <v>756</v>
      </c>
      <c r="G362" s="3" t="s">
        <v>757</v>
      </c>
      <c r="H362" s="2" t="s">
        <v>667</v>
      </c>
      <c r="I362" s="4"/>
      <c r="J362" s="4"/>
      <c r="K362" s="4"/>
      <c r="L362" s="5"/>
      <c r="M362" s="3"/>
    </row>
    <row r="363" spans="1:13" ht="28.8" x14ac:dyDescent="0.3">
      <c r="A363" s="2">
        <v>362</v>
      </c>
      <c r="B363" s="2" t="s">
        <v>481</v>
      </c>
      <c r="C363" s="2" t="s">
        <v>663</v>
      </c>
      <c r="D363" s="2">
        <v>408</v>
      </c>
      <c r="E363" s="3" t="s">
        <v>664</v>
      </c>
      <c r="F363" s="3" t="s">
        <v>758</v>
      </c>
      <c r="G363" s="3" t="s">
        <v>759</v>
      </c>
      <c r="H363" s="2" t="s">
        <v>667</v>
      </c>
      <c r="I363" s="4"/>
      <c r="J363" s="4"/>
      <c r="K363" s="4"/>
      <c r="L363" s="5"/>
      <c r="M363" s="3"/>
    </row>
    <row r="364" spans="1:13" ht="28.8" x14ac:dyDescent="0.3">
      <c r="A364" s="2">
        <v>363</v>
      </c>
      <c r="B364" s="2" t="s">
        <v>481</v>
      </c>
      <c r="C364" s="2" t="s">
        <v>663</v>
      </c>
      <c r="D364" s="2">
        <v>420</v>
      </c>
      <c r="E364" s="3" t="s">
        <v>664</v>
      </c>
      <c r="F364" s="3" t="s">
        <v>760</v>
      </c>
      <c r="G364" s="3" t="s">
        <v>761</v>
      </c>
      <c r="H364" s="2" t="s">
        <v>667</v>
      </c>
      <c r="I364" s="4"/>
      <c r="J364" s="4"/>
      <c r="K364" s="4"/>
      <c r="L364" s="5"/>
      <c r="M364" s="3"/>
    </row>
    <row r="365" spans="1:13" x14ac:dyDescent="0.3">
      <c r="A365" s="2">
        <v>364</v>
      </c>
      <c r="B365" s="2" t="s">
        <v>481</v>
      </c>
      <c r="C365" s="2" t="s">
        <v>663</v>
      </c>
      <c r="D365" s="2">
        <v>434</v>
      </c>
      <c r="E365" s="3" t="s">
        <v>664</v>
      </c>
      <c r="F365" s="3" t="s">
        <v>762</v>
      </c>
      <c r="G365" s="3" t="s">
        <v>763</v>
      </c>
      <c r="H365" s="2" t="s">
        <v>667</v>
      </c>
      <c r="I365" s="4"/>
      <c r="J365" s="4"/>
      <c r="K365" s="4"/>
      <c r="L365" s="5"/>
      <c r="M365" s="3"/>
    </row>
    <row r="366" spans="1:13" x14ac:dyDescent="0.3">
      <c r="A366" s="2">
        <v>365</v>
      </c>
      <c r="B366" s="2" t="s">
        <v>481</v>
      </c>
      <c r="C366" s="2" t="s">
        <v>663</v>
      </c>
      <c r="D366" s="2">
        <v>446</v>
      </c>
      <c r="E366" s="3" t="s">
        <v>664</v>
      </c>
      <c r="F366" s="3" t="s">
        <v>764</v>
      </c>
      <c r="G366" s="3" t="s">
        <v>765</v>
      </c>
      <c r="H366" s="2" t="s">
        <v>667</v>
      </c>
      <c r="I366" s="4"/>
      <c r="J366" s="4"/>
      <c r="K366" s="4"/>
      <c r="L366" s="5"/>
      <c r="M366" s="3"/>
    </row>
    <row r="367" spans="1:13" ht="28.8" x14ac:dyDescent="0.3">
      <c r="A367" s="2">
        <v>366</v>
      </c>
      <c r="B367" s="2" t="s">
        <v>481</v>
      </c>
      <c r="C367" s="2" t="s">
        <v>663</v>
      </c>
      <c r="D367" s="2">
        <v>453</v>
      </c>
      <c r="E367" s="3" t="s">
        <v>664</v>
      </c>
      <c r="F367" s="3" t="s">
        <v>766</v>
      </c>
      <c r="G367" s="3" t="s">
        <v>767</v>
      </c>
      <c r="H367" s="2" t="s">
        <v>667</v>
      </c>
      <c r="I367" s="4"/>
      <c r="J367" s="4"/>
      <c r="K367" s="4"/>
      <c r="L367" s="5"/>
      <c r="M367" s="3"/>
    </row>
    <row r="368" spans="1:13" ht="43.2" x14ac:dyDescent="0.3">
      <c r="A368" s="2">
        <v>367</v>
      </c>
      <c r="B368" s="2" t="s">
        <v>481</v>
      </c>
      <c r="C368" s="2" t="s">
        <v>663</v>
      </c>
      <c r="D368" s="2">
        <v>484</v>
      </c>
      <c r="E368" s="3" t="s">
        <v>664</v>
      </c>
      <c r="F368" s="3" t="s">
        <v>768</v>
      </c>
      <c r="G368" s="3" t="s">
        <v>769</v>
      </c>
      <c r="H368" s="2"/>
      <c r="I368" s="4"/>
      <c r="J368" s="4"/>
      <c r="K368" s="4"/>
      <c r="L368" s="5"/>
      <c r="M368" s="3"/>
    </row>
    <row r="369" spans="1:13" ht="28.8" x14ac:dyDescent="0.3">
      <c r="A369" s="2">
        <v>368</v>
      </c>
      <c r="B369" s="2" t="s">
        <v>481</v>
      </c>
      <c r="C369" s="2" t="s">
        <v>663</v>
      </c>
      <c r="D369" s="2">
        <v>484</v>
      </c>
      <c r="E369" s="3" t="s">
        <v>664</v>
      </c>
      <c r="F369" s="3" t="s">
        <v>770</v>
      </c>
      <c r="G369" s="3" t="s">
        <v>771</v>
      </c>
      <c r="H369" s="2"/>
      <c r="I369" s="4"/>
      <c r="J369" s="4"/>
      <c r="K369" s="4"/>
      <c r="L369" s="5"/>
      <c r="M369" s="3"/>
    </row>
    <row r="370" spans="1:13" x14ac:dyDescent="0.3">
      <c r="A370" s="2">
        <v>369</v>
      </c>
      <c r="B370" s="2" t="s">
        <v>481</v>
      </c>
      <c r="C370" s="2" t="s">
        <v>663</v>
      </c>
      <c r="D370" s="2">
        <v>484</v>
      </c>
      <c r="E370" s="3" t="s">
        <v>664</v>
      </c>
      <c r="F370" s="3" t="s">
        <v>772</v>
      </c>
      <c r="G370" s="3" t="s">
        <v>773</v>
      </c>
      <c r="H370" s="2"/>
      <c r="I370" s="4"/>
      <c r="J370" s="4"/>
      <c r="K370" s="4"/>
      <c r="L370" s="5"/>
      <c r="M370" s="3"/>
    </row>
    <row r="371" spans="1:13" ht="28.8" x14ac:dyDescent="0.3">
      <c r="A371" s="2">
        <v>370</v>
      </c>
      <c r="B371" s="2" t="s">
        <v>481</v>
      </c>
      <c r="C371" s="2" t="s">
        <v>663</v>
      </c>
      <c r="D371" s="2">
        <v>484</v>
      </c>
      <c r="E371" s="3" t="s">
        <v>664</v>
      </c>
      <c r="F371" s="3" t="s">
        <v>774</v>
      </c>
      <c r="G371" s="3" t="s">
        <v>775</v>
      </c>
      <c r="H371" s="2"/>
      <c r="I371" s="4"/>
      <c r="J371" s="4"/>
      <c r="K371" s="4"/>
      <c r="L371" s="5"/>
      <c r="M371" s="3"/>
    </row>
    <row r="372" spans="1:13" ht="28.8" x14ac:dyDescent="0.3">
      <c r="A372" s="2">
        <v>371</v>
      </c>
      <c r="B372" s="2" t="s">
        <v>481</v>
      </c>
      <c r="C372" s="2" t="s">
        <v>663</v>
      </c>
      <c r="D372" s="2">
        <v>484</v>
      </c>
      <c r="E372" s="3" t="s">
        <v>664</v>
      </c>
      <c r="F372" s="3" t="s">
        <v>776</v>
      </c>
      <c r="G372" s="3" t="s">
        <v>777</v>
      </c>
      <c r="H372" s="2"/>
      <c r="I372" s="4"/>
      <c r="J372" s="4"/>
      <c r="K372" s="4"/>
      <c r="L372" s="5"/>
      <c r="M372" s="3"/>
    </row>
    <row r="373" spans="1:13" ht="28.8" x14ac:dyDescent="0.3">
      <c r="A373" s="2">
        <v>372</v>
      </c>
      <c r="B373" s="2" t="s">
        <v>481</v>
      </c>
      <c r="C373" s="2" t="s">
        <v>663</v>
      </c>
      <c r="D373" s="2">
        <v>484</v>
      </c>
      <c r="E373" s="3" t="s">
        <v>664</v>
      </c>
      <c r="F373" s="3" t="s">
        <v>778</v>
      </c>
      <c r="G373" s="3" t="s">
        <v>779</v>
      </c>
      <c r="H373" s="2"/>
      <c r="I373" s="4"/>
      <c r="J373" s="4"/>
      <c r="K373" s="4"/>
      <c r="L373" s="5"/>
      <c r="M373" s="3"/>
    </row>
    <row r="374" spans="1:13" x14ac:dyDescent="0.3">
      <c r="A374" s="2">
        <v>373</v>
      </c>
      <c r="B374" s="2" t="s">
        <v>481</v>
      </c>
      <c r="C374" s="2" t="s">
        <v>663</v>
      </c>
      <c r="D374" s="2">
        <v>484</v>
      </c>
      <c r="E374" s="3" t="s">
        <v>664</v>
      </c>
      <c r="F374" s="3" t="s">
        <v>780</v>
      </c>
      <c r="G374" s="3" t="s">
        <v>781</v>
      </c>
      <c r="H374" s="2"/>
      <c r="I374" s="4"/>
      <c r="J374" s="4"/>
      <c r="K374" s="4"/>
      <c r="L374" s="5"/>
      <c r="M374" s="3"/>
    </row>
    <row r="375" spans="1:13" x14ac:dyDescent="0.3">
      <c r="A375" s="2">
        <v>374</v>
      </c>
      <c r="B375" s="2" t="s">
        <v>481</v>
      </c>
      <c r="C375" s="2" t="s">
        <v>663</v>
      </c>
      <c r="D375" s="2">
        <v>484</v>
      </c>
      <c r="E375" s="3" t="s">
        <v>664</v>
      </c>
      <c r="F375" s="3" t="s">
        <v>782</v>
      </c>
      <c r="G375" s="3" t="s">
        <v>783</v>
      </c>
      <c r="H375" s="2"/>
      <c r="I375" s="4"/>
      <c r="J375" s="4"/>
      <c r="K375" s="4"/>
      <c r="L375" s="5"/>
      <c r="M375" s="3"/>
    </row>
    <row r="376" spans="1:13" ht="28.8" x14ac:dyDescent="0.3">
      <c r="A376" s="2">
        <v>375</v>
      </c>
      <c r="B376" s="2" t="s">
        <v>481</v>
      </c>
      <c r="C376" s="2" t="s">
        <v>663</v>
      </c>
      <c r="D376" s="2">
        <v>484</v>
      </c>
      <c r="E376" s="3" t="s">
        <v>664</v>
      </c>
      <c r="F376" s="3" t="s">
        <v>784</v>
      </c>
      <c r="G376" s="3" t="s">
        <v>785</v>
      </c>
      <c r="H376" s="2"/>
      <c r="I376" s="4"/>
      <c r="J376" s="4"/>
      <c r="K376" s="4"/>
      <c r="L376" s="5"/>
      <c r="M376" s="3"/>
    </row>
    <row r="377" spans="1:13" x14ac:dyDescent="0.3">
      <c r="A377" s="2">
        <v>376</v>
      </c>
      <c r="B377" s="2" t="s">
        <v>481</v>
      </c>
      <c r="C377" s="2" t="s">
        <v>663</v>
      </c>
      <c r="D377" s="2">
        <v>484</v>
      </c>
      <c r="E377" s="3" t="s">
        <v>664</v>
      </c>
      <c r="F377" s="3" t="s">
        <v>786</v>
      </c>
      <c r="G377" s="3" t="s">
        <v>787</v>
      </c>
      <c r="H377" s="2"/>
      <c r="I377" s="4"/>
      <c r="J377" s="4"/>
      <c r="K377" s="4"/>
      <c r="L377" s="5"/>
      <c r="M377" s="3"/>
    </row>
    <row r="378" spans="1:13" x14ac:dyDescent="0.3">
      <c r="A378" s="2">
        <v>377</v>
      </c>
      <c r="B378" s="2" t="s">
        <v>481</v>
      </c>
      <c r="C378" s="2" t="s">
        <v>663</v>
      </c>
      <c r="D378" s="2">
        <v>484</v>
      </c>
      <c r="E378" s="3" t="s">
        <v>664</v>
      </c>
      <c r="F378" s="3" t="s">
        <v>788</v>
      </c>
      <c r="G378" s="3" t="s">
        <v>789</v>
      </c>
      <c r="H378" s="2"/>
      <c r="I378" s="4"/>
      <c r="J378" s="4"/>
      <c r="K378" s="4"/>
      <c r="L378" s="5"/>
      <c r="M378" s="3"/>
    </row>
    <row r="379" spans="1:13" x14ac:dyDescent="0.3">
      <c r="A379" s="2">
        <v>378</v>
      </c>
      <c r="B379" s="2" t="s">
        <v>481</v>
      </c>
      <c r="C379" s="2" t="s">
        <v>663</v>
      </c>
      <c r="D379" s="2">
        <v>484</v>
      </c>
      <c r="E379" s="3" t="s">
        <v>664</v>
      </c>
      <c r="F379" s="3" t="s">
        <v>790</v>
      </c>
      <c r="G379" s="3" t="s">
        <v>791</v>
      </c>
      <c r="H379" s="2"/>
      <c r="I379" s="4"/>
      <c r="J379" s="4"/>
      <c r="K379" s="4"/>
      <c r="L379" s="5"/>
      <c r="M379" s="3"/>
    </row>
    <row r="380" spans="1:13" ht="28.8" x14ac:dyDescent="0.3">
      <c r="A380" s="2">
        <v>379</v>
      </c>
      <c r="B380" s="2" t="s">
        <v>481</v>
      </c>
      <c r="C380" s="2" t="s">
        <v>663</v>
      </c>
      <c r="D380" s="2">
        <v>484</v>
      </c>
      <c r="E380" s="3" t="s">
        <v>664</v>
      </c>
      <c r="F380" s="3" t="s">
        <v>792</v>
      </c>
      <c r="G380" s="3" t="s">
        <v>793</v>
      </c>
      <c r="H380" s="2"/>
      <c r="I380" s="4"/>
      <c r="J380" s="4"/>
      <c r="K380" s="4"/>
      <c r="L380" s="5"/>
      <c r="M380" s="3"/>
    </row>
    <row r="381" spans="1:13" ht="28.8" x14ac:dyDescent="0.3">
      <c r="A381" s="2">
        <v>380</v>
      </c>
      <c r="B381" s="2" t="s">
        <v>481</v>
      </c>
      <c r="C381" s="2" t="s">
        <v>663</v>
      </c>
      <c r="D381" s="2">
        <v>484</v>
      </c>
      <c r="E381" s="3" t="s">
        <v>664</v>
      </c>
      <c r="F381" s="3" t="s">
        <v>794</v>
      </c>
      <c r="G381" s="3" t="s">
        <v>795</v>
      </c>
      <c r="H381" s="2"/>
      <c r="I381" s="4"/>
      <c r="J381" s="4"/>
      <c r="K381" s="4"/>
      <c r="L381" s="5"/>
      <c r="M381" s="3"/>
    </row>
    <row r="382" spans="1:13" ht="43.2" x14ac:dyDescent="0.3">
      <c r="A382" s="2">
        <v>381</v>
      </c>
      <c r="B382" s="2" t="s">
        <v>481</v>
      </c>
      <c r="C382" s="2" t="s">
        <v>796</v>
      </c>
      <c r="D382" s="2">
        <v>70</v>
      </c>
      <c r="E382" s="3" t="s">
        <v>797</v>
      </c>
      <c r="F382" s="3" t="s">
        <v>798</v>
      </c>
      <c r="G382" s="3" t="s">
        <v>799</v>
      </c>
      <c r="H382" s="2" t="s">
        <v>800</v>
      </c>
      <c r="I382" s="4"/>
      <c r="J382" s="4"/>
      <c r="K382" s="4"/>
      <c r="L382" s="5"/>
      <c r="M382" s="3"/>
    </row>
    <row r="383" spans="1:13" ht="28.8" x14ac:dyDescent="0.3">
      <c r="A383" s="2">
        <v>382</v>
      </c>
      <c r="B383" s="2" t="s">
        <v>481</v>
      </c>
      <c r="C383" s="2" t="s">
        <v>796</v>
      </c>
      <c r="D383" s="2">
        <v>83</v>
      </c>
      <c r="E383" s="3" t="s">
        <v>797</v>
      </c>
      <c r="F383" s="3" t="s">
        <v>801</v>
      </c>
      <c r="G383" s="3" t="s">
        <v>802</v>
      </c>
      <c r="H383" s="2" t="s">
        <v>800</v>
      </c>
      <c r="I383" s="4"/>
      <c r="J383" s="4"/>
      <c r="K383" s="4"/>
      <c r="L383" s="5"/>
      <c r="M383" s="3"/>
    </row>
    <row r="384" spans="1:13" ht="28.8" x14ac:dyDescent="0.3">
      <c r="A384" s="2">
        <v>383</v>
      </c>
      <c r="B384" s="2" t="s">
        <v>481</v>
      </c>
      <c r="C384" s="2" t="s">
        <v>796</v>
      </c>
      <c r="D384" s="2">
        <v>89</v>
      </c>
      <c r="E384" s="3" t="s">
        <v>797</v>
      </c>
      <c r="F384" s="3" t="s">
        <v>803</v>
      </c>
      <c r="G384" s="3" t="s">
        <v>804</v>
      </c>
      <c r="H384" s="2" t="s">
        <v>800</v>
      </c>
      <c r="I384" s="4"/>
      <c r="J384" s="4"/>
      <c r="K384" s="4"/>
      <c r="L384" s="5"/>
      <c r="M384" s="3"/>
    </row>
    <row r="385" spans="1:13" ht="43.2" x14ac:dyDescent="0.3">
      <c r="A385" s="2">
        <v>384</v>
      </c>
      <c r="B385" s="2" t="s">
        <v>481</v>
      </c>
      <c r="C385" s="2" t="s">
        <v>796</v>
      </c>
      <c r="D385" s="2">
        <v>99</v>
      </c>
      <c r="E385" s="3" t="s">
        <v>797</v>
      </c>
      <c r="F385" s="3" t="s">
        <v>805</v>
      </c>
      <c r="G385" s="3" t="s">
        <v>806</v>
      </c>
      <c r="H385" s="2" t="s">
        <v>800</v>
      </c>
      <c r="I385" s="4"/>
      <c r="J385" s="4"/>
      <c r="K385" s="4"/>
      <c r="L385" s="5"/>
      <c r="M385" s="3"/>
    </row>
    <row r="386" spans="1:13" ht="57.6" x14ac:dyDescent="0.3">
      <c r="A386" s="2">
        <v>385</v>
      </c>
      <c r="B386" s="2" t="s">
        <v>481</v>
      </c>
      <c r="C386" s="2" t="s">
        <v>796</v>
      </c>
      <c r="D386" s="2">
        <v>108</v>
      </c>
      <c r="E386" s="3" t="s">
        <v>797</v>
      </c>
      <c r="F386" s="3" t="s">
        <v>807</v>
      </c>
      <c r="G386" s="3" t="s">
        <v>808</v>
      </c>
      <c r="H386" s="2" t="s">
        <v>800</v>
      </c>
      <c r="I386" s="4"/>
      <c r="J386" s="4"/>
      <c r="K386" s="4"/>
      <c r="L386" s="5"/>
      <c r="M386" s="3"/>
    </row>
    <row r="387" spans="1:13" ht="43.2" x14ac:dyDescent="0.3">
      <c r="A387" s="2">
        <v>386</v>
      </c>
      <c r="B387" s="2" t="s">
        <v>481</v>
      </c>
      <c r="C387" s="2" t="s">
        <v>796</v>
      </c>
      <c r="D387" s="2">
        <v>136</v>
      </c>
      <c r="E387" s="3" t="s">
        <v>797</v>
      </c>
      <c r="F387" s="3" t="s">
        <v>809</v>
      </c>
      <c r="G387" s="3" t="s">
        <v>810</v>
      </c>
      <c r="H387" s="2" t="s">
        <v>800</v>
      </c>
      <c r="I387" s="4"/>
      <c r="J387" s="4"/>
      <c r="K387" s="4"/>
      <c r="L387" s="5"/>
      <c r="M387" s="3"/>
    </row>
    <row r="388" spans="1:13" ht="57.6" x14ac:dyDescent="0.3">
      <c r="A388" s="2">
        <v>387</v>
      </c>
      <c r="B388" s="2" t="s">
        <v>481</v>
      </c>
      <c r="C388" s="2" t="s">
        <v>796</v>
      </c>
      <c r="D388" s="2">
        <v>153</v>
      </c>
      <c r="E388" s="3" t="s">
        <v>797</v>
      </c>
      <c r="F388" s="3" t="s">
        <v>811</v>
      </c>
      <c r="G388" s="3" t="s">
        <v>812</v>
      </c>
      <c r="H388" s="2" t="s">
        <v>800</v>
      </c>
      <c r="I388" s="4"/>
      <c r="J388" s="4"/>
      <c r="K388" s="4"/>
      <c r="L388" s="5"/>
      <c r="M388" s="3"/>
    </row>
    <row r="389" spans="1:13" ht="28.8" x14ac:dyDescent="0.3">
      <c r="A389" s="2">
        <v>388</v>
      </c>
      <c r="B389" s="2" t="s">
        <v>481</v>
      </c>
      <c r="C389" s="2" t="s">
        <v>796</v>
      </c>
      <c r="D389" s="2">
        <v>168</v>
      </c>
      <c r="E389" s="3" t="s">
        <v>797</v>
      </c>
      <c r="F389" s="3" t="s">
        <v>813</v>
      </c>
      <c r="G389" s="3" t="s">
        <v>814</v>
      </c>
      <c r="H389" s="2" t="s">
        <v>800</v>
      </c>
      <c r="I389" s="4"/>
      <c r="J389" s="4"/>
      <c r="K389" s="4"/>
      <c r="L389" s="5"/>
      <c r="M389" s="3"/>
    </row>
    <row r="390" spans="1:13" ht="57.6" x14ac:dyDescent="0.3">
      <c r="A390" s="2">
        <v>389</v>
      </c>
      <c r="B390" s="2" t="s">
        <v>481</v>
      </c>
      <c r="C390" s="2" t="s">
        <v>796</v>
      </c>
      <c r="D390" s="2">
        <v>181</v>
      </c>
      <c r="E390" s="3" t="s">
        <v>797</v>
      </c>
      <c r="F390" s="3" t="s">
        <v>815</v>
      </c>
      <c r="G390" s="3" t="s">
        <v>816</v>
      </c>
      <c r="H390" s="2" t="s">
        <v>800</v>
      </c>
      <c r="I390" s="4"/>
      <c r="J390" s="4"/>
      <c r="K390" s="4"/>
      <c r="L390" s="5"/>
      <c r="M390" s="3"/>
    </row>
    <row r="391" spans="1:13" ht="43.2" x14ac:dyDescent="0.3">
      <c r="A391" s="2">
        <v>390</v>
      </c>
      <c r="B391" s="2" t="s">
        <v>481</v>
      </c>
      <c r="C391" s="2" t="s">
        <v>796</v>
      </c>
      <c r="D391" s="2">
        <v>212</v>
      </c>
      <c r="E391" s="3" t="s">
        <v>797</v>
      </c>
      <c r="F391" s="3" t="s">
        <v>817</v>
      </c>
      <c r="G391" s="3" t="s">
        <v>818</v>
      </c>
      <c r="H391" s="2" t="s">
        <v>800</v>
      </c>
      <c r="I391" s="4"/>
      <c r="J391" s="4"/>
      <c r="K391" s="4"/>
      <c r="L391" s="5"/>
      <c r="M391" s="3"/>
    </row>
    <row r="392" spans="1:13" ht="43.2" x14ac:dyDescent="0.3">
      <c r="A392" s="2">
        <v>391</v>
      </c>
      <c r="B392" s="2" t="s">
        <v>481</v>
      </c>
      <c r="C392" s="2" t="s">
        <v>796</v>
      </c>
      <c r="D392" s="2">
        <v>229</v>
      </c>
      <c r="E392" s="3" t="s">
        <v>797</v>
      </c>
      <c r="F392" s="3" t="s">
        <v>819</v>
      </c>
      <c r="G392" s="3" t="s">
        <v>820</v>
      </c>
      <c r="H392" s="2" t="s">
        <v>800</v>
      </c>
      <c r="I392" s="4"/>
      <c r="J392" s="4"/>
      <c r="K392" s="4"/>
      <c r="L392" s="5"/>
      <c r="M392" s="3"/>
    </row>
    <row r="393" spans="1:13" ht="28.8" x14ac:dyDescent="0.3">
      <c r="A393" s="2">
        <v>392</v>
      </c>
      <c r="B393" s="2" t="s">
        <v>481</v>
      </c>
      <c r="C393" s="2" t="s">
        <v>796</v>
      </c>
      <c r="D393" s="2">
        <v>250</v>
      </c>
      <c r="E393" s="3" t="s">
        <v>797</v>
      </c>
      <c r="F393" s="3" t="s">
        <v>821</v>
      </c>
      <c r="G393" s="3" t="s">
        <v>822</v>
      </c>
      <c r="H393" s="2" t="s">
        <v>800</v>
      </c>
      <c r="I393" s="4"/>
      <c r="J393" s="4"/>
      <c r="K393" s="4"/>
      <c r="L393" s="5"/>
      <c r="M393" s="3"/>
    </row>
    <row r="394" spans="1:13" ht="28.8" x14ac:dyDescent="0.3">
      <c r="A394" s="2">
        <v>393</v>
      </c>
      <c r="B394" s="2" t="s">
        <v>481</v>
      </c>
      <c r="C394" s="2" t="s">
        <v>796</v>
      </c>
      <c r="D394" s="2">
        <v>261</v>
      </c>
      <c r="E394" s="3" t="s">
        <v>797</v>
      </c>
      <c r="F394" s="3" t="s">
        <v>823</v>
      </c>
      <c r="G394" s="3" t="s">
        <v>824</v>
      </c>
      <c r="H394" s="2" t="s">
        <v>800</v>
      </c>
      <c r="I394" s="4"/>
      <c r="J394" s="4"/>
      <c r="K394" s="4"/>
      <c r="L394" s="5"/>
      <c r="M394" s="3"/>
    </row>
    <row r="395" spans="1:13" ht="28.8" x14ac:dyDescent="0.3">
      <c r="A395" s="2">
        <v>394</v>
      </c>
      <c r="B395" s="2" t="s">
        <v>481</v>
      </c>
      <c r="C395" s="2" t="s">
        <v>796</v>
      </c>
      <c r="D395" s="2">
        <v>277</v>
      </c>
      <c r="E395" s="3" t="s">
        <v>797</v>
      </c>
      <c r="F395" s="3" t="s">
        <v>825</v>
      </c>
      <c r="G395" s="3" t="s">
        <v>826</v>
      </c>
      <c r="H395" s="2" t="s">
        <v>800</v>
      </c>
      <c r="I395" s="4"/>
      <c r="J395" s="4"/>
      <c r="K395" s="4"/>
      <c r="L395" s="5"/>
      <c r="M395" s="3"/>
    </row>
    <row r="396" spans="1:13" ht="28.8" x14ac:dyDescent="0.3">
      <c r="A396" s="2">
        <v>395</v>
      </c>
      <c r="B396" s="2" t="s">
        <v>481</v>
      </c>
      <c r="C396" s="2" t="s">
        <v>796</v>
      </c>
      <c r="D396" s="2">
        <v>296</v>
      </c>
      <c r="E396" s="3" t="s">
        <v>797</v>
      </c>
      <c r="F396" s="3" t="s">
        <v>827</v>
      </c>
      <c r="G396" s="3" t="s">
        <v>828</v>
      </c>
      <c r="H396" s="2" t="s">
        <v>800</v>
      </c>
      <c r="I396" s="4"/>
      <c r="J396" s="4"/>
      <c r="K396" s="4"/>
      <c r="L396" s="5"/>
      <c r="M396" s="3"/>
    </row>
    <row r="397" spans="1:13" x14ac:dyDescent="0.3">
      <c r="A397" s="2">
        <v>396</v>
      </c>
      <c r="B397" s="2" t="s">
        <v>481</v>
      </c>
      <c r="C397" s="2" t="s">
        <v>796</v>
      </c>
      <c r="D397" s="2">
        <v>308</v>
      </c>
      <c r="E397" s="3" t="s">
        <v>797</v>
      </c>
      <c r="F397" s="3" t="s">
        <v>829</v>
      </c>
      <c r="G397" s="3" t="s">
        <v>830</v>
      </c>
      <c r="H397" s="2" t="s">
        <v>800</v>
      </c>
      <c r="I397" s="4"/>
      <c r="J397" s="4"/>
      <c r="K397" s="4"/>
      <c r="L397" s="5"/>
      <c r="M397" s="3"/>
    </row>
    <row r="398" spans="1:13" x14ac:dyDescent="0.3">
      <c r="A398" s="2">
        <v>397</v>
      </c>
      <c r="B398" s="2" t="s">
        <v>481</v>
      </c>
      <c r="C398" s="2" t="s">
        <v>796</v>
      </c>
      <c r="D398" s="2">
        <v>316</v>
      </c>
      <c r="E398" s="3" t="s">
        <v>797</v>
      </c>
      <c r="F398" s="3" t="s">
        <v>831</v>
      </c>
      <c r="G398" s="3" t="s">
        <v>832</v>
      </c>
      <c r="H398" s="2" t="s">
        <v>800</v>
      </c>
      <c r="I398" s="4"/>
      <c r="J398" s="4"/>
      <c r="K398" s="4"/>
      <c r="L398" s="5"/>
      <c r="M398" s="3"/>
    </row>
    <row r="399" spans="1:13" ht="28.8" x14ac:dyDescent="0.3">
      <c r="A399" s="2">
        <v>398</v>
      </c>
      <c r="B399" s="2" t="s">
        <v>481</v>
      </c>
      <c r="C399" s="2" t="s">
        <v>796</v>
      </c>
      <c r="D399" s="2">
        <v>322</v>
      </c>
      <c r="E399" s="3" t="s">
        <v>797</v>
      </c>
      <c r="F399" s="3" t="s">
        <v>833</v>
      </c>
      <c r="G399" s="3" t="s">
        <v>834</v>
      </c>
      <c r="H399" s="2" t="s">
        <v>800</v>
      </c>
      <c r="I399" s="4"/>
      <c r="J399" s="4"/>
      <c r="K399" s="4"/>
      <c r="L399" s="5"/>
      <c r="M399" s="3"/>
    </row>
    <row r="400" spans="1:13" ht="57.6" x14ac:dyDescent="0.3">
      <c r="A400" s="2">
        <v>399</v>
      </c>
      <c r="B400" s="2" t="s">
        <v>481</v>
      </c>
      <c r="C400" s="2" t="s">
        <v>796</v>
      </c>
      <c r="D400" s="2">
        <v>332</v>
      </c>
      <c r="E400" s="3" t="s">
        <v>797</v>
      </c>
      <c r="F400" s="3" t="s">
        <v>835</v>
      </c>
      <c r="G400" s="3" t="s">
        <v>836</v>
      </c>
      <c r="H400" s="2" t="s">
        <v>800</v>
      </c>
      <c r="I400" s="4"/>
      <c r="J400" s="4"/>
      <c r="K400" s="4"/>
      <c r="L400" s="5"/>
      <c r="M400" s="3"/>
    </row>
    <row r="401" spans="1:13" ht="28.8" x14ac:dyDescent="0.3">
      <c r="A401" s="2">
        <v>400</v>
      </c>
      <c r="B401" s="2" t="s">
        <v>481</v>
      </c>
      <c r="C401" s="2" t="s">
        <v>796</v>
      </c>
      <c r="D401" s="2">
        <v>345</v>
      </c>
      <c r="E401" s="3" t="s">
        <v>797</v>
      </c>
      <c r="F401" s="3" t="s">
        <v>837</v>
      </c>
      <c r="G401" s="3" t="s">
        <v>838</v>
      </c>
      <c r="H401" s="2" t="s">
        <v>800</v>
      </c>
      <c r="I401" s="4"/>
      <c r="J401" s="4"/>
      <c r="K401" s="4"/>
      <c r="L401" s="5"/>
      <c r="M401" s="3"/>
    </row>
    <row r="402" spans="1:13" ht="28.8" x14ac:dyDescent="0.3">
      <c r="A402" s="2">
        <v>401</v>
      </c>
      <c r="B402" s="2" t="s">
        <v>481</v>
      </c>
      <c r="C402" s="2" t="s">
        <v>796</v>
      </c>
      <c r="D402" s="2">
        <v>360</v>
      </c>
      <c r="E402" s="3" t="s">
        <v>797</v>
      </c>
      <c r="F402" s="3" t="s">
        <v>839</v>
      </c>
      <c r="G402" s="3" t="s">
        <v>840</v>
      </c>
      <c r="H402" s="2" t="s">
        <v>800</v>
      </c>
      <c r="I402" s="4"/>
      <c r="J402" s="4"/>
      <c r="K402" s="4"/>
      <c r="L402" s="5"/>
      <c r="M402" s="3"/>
    </row>
    <row r="403" spans="1:13" ht="28.8" x14ac:dyDescent="0.3">
      <c r="A403" s="2">
        <v>402</v>
      </c>
      <c r="B403" s="2" t="s">
        <v>481</v>
      </c>
      <c r="C403" s="2" t="s">
        <v>796</v>
      </c>
      <c r="D403" s="2">
        <v>380</v>
      </c>
      <c r="E403" s="3" t="s">
        <v>797</v>
      </c>
      <c r="F403" s="3" t="s">
        <v>841</v>
      </c>
      <c r="G403" s="3" t="s">
        <v>842</v>
      </c>
      <c r="H403" s="2" t="s">
        <v>800</v>
      </c>
      <c r="I403" s="4"/>
      <c r="J403" s="4"/>
      <c r="K403" s="4"/>
      <c r="L403" s="5"/>
      <c r="M403" s="3"/>
    </row>
    <row r="404" spans="1:13" x14ac:dyDescent="0.3">
      <c r="A404" s="2">
        <v>403</v>
      </c>
      <c r="B404" s="2" t="s">
        <v>481</v>
      </c>
      <c r="C404" s="2" t="s">
        <v>796</v>
      </c>
      <c r="D404" s="2">
        <v>389</v>
      </c>
      <c r="E404" s="3" t="s">
        <v>797</v>
      </c>
      <c r="F404" s="3" t="s">
        <v>843</v>
      </c>
      <c r="G404" s="3" t="s">
        <v>844</v>
      </c>
      <c r="H404" s="2" t="s">
        <v>800</v>
      </c>
      <c r="I404" s="4"/>
      <c r="J404" s="4"/>
      <c r="K404" s="4"/>
      <c r="L404" s="5"/>
      <c r="M404" s="3"/>
    </row>
    <row r="405" spans="1:13" x14ac:dyDescent="0.3">
      <c r="A405" s="2">
        <v>404</v>
      </c>
      <c r="B405" s="2" t="s">
        <v>481</v>
      </c>
      <c r="C405" s="2" t="s">
        <v>796</v>
      </c>
      <c r="D405" s="2">
        <v>405</v>
      </c>
      <c r="E405" s="3" t="s">
        <v>797</v>
      </c>
      <c r="F405" s="3" t="s">
        <v>845</v>
      </c>
      <c r="G405" s="3" t="s">
        <v>846</v>
      </c>
      <c r="H405" s="2" t="s">
        <v>800</v>
      </c>
      <c r="I405" s="4"/>
      <c r="J405" s="4"/>
      <c r="K405" s="4"/>
      <c r="L405" s="5"/>
      <c r="M405" s="3"/>
    </row>
    <row r="406" spans="1:13" ht="28.8" x14ac:dyDescent="0.3">
      <c r="A406" s="2">
        <v>405</v>
      </c>
      <c r="B406" s="2" t="s">
        <v>481</v>
      </c>
      <c r="C406" s="2" t="s">
        <v>796</v>
      </c>
      <c r="D406" s="2">
        <v>413</v>
      </c>
      <c r="E406" s="3" t="s">
        <v>797</v>
      </c>
      <c r="F406" s="3" t="s">
        <v>847</v>
      </c>
      <c r="G406" s="3" t="s">
        <v>848</v>
      </c>
      <c r="H406" s="2" t="s">
        <v>800</v>
      </c>
      <c r="I406" s="4"/>
      <c r="J406" s="4"/>
      <c r="K406" s="4"/>
      <c r="L406" s="5"/>
      <c r="M406" s="3"/>
    </row>
    <row r="407" spans="1:13" ht="28.8" x14ac:dyDescent="0.3">
      <c r="A407" s="2">
        <v>406</v>
      </c>
      <c r="B407" s="2" t="s">
        <v>481</v>
      </c>
      <c r="C407" s="2" t="s">
        <v>796</v>
      </c>
      <c r="D407" s="2">
        <v>423</v>
      </c>
      <c r="E407" s="3" t="s">
        <v>797</v>
      </c>
      <c r="F407" s="3" t="s">
        <v>849</v>
      </c>
      <c r="G407" s="3" t="s">
        <v>850</v>
      </c>
      <c r="H407" s="2" t="s">
        <v>800</v>
      </c>
      <c r="I407" s="4"/>
      <c r="J407" s="4"/>
      <c r="K407" s="4"/>
      <c r="L407" s="5"/>
      <c r="M407" s="3"/>
    </row>
    <row r="408" spans="1:13" x14ac:dyDescent="0.3">
      <c r="A408" s="2">
        <v>407</v>
      </c>
      <c r="B408" s="2" t="s">
        <v>481</v>
      </c>
      <c r="C408" s="2" t="s">
        <v>796</v>
      </c>
      <c r="D408" s="2">
        <v>433</v>
      </c>
      <c r="E408" s="3" t="s">
        <v>797</v>
      </c>
      <c r="F408" s="3" t="s">
        <v>851</v>
      </c>
      <c r="G408" s="3" t="s">
        <v>852</v>
      </c>
      <c r="H408" s="2" t="s">
        <v>800</v>
      </c>
      <c r="I408" s="4"/>
      <c r="J408" s="4"/>
      <c r="K408" s="4"/>
      <c r="L408" s="5"/>
      <c r="M408" s="3"/>
    </row>
    <row r="409" spans="1:13" ht="28.8" x14ac:dyDescent="0.3">
      <c r="A409" s="2">
        <v>408</v>
      </c>
      <c r="B409" s="2" t="s">
        <v>481</v>
      </c>
      <c r="C409" s="2" t="s">
        <v>796</v>
      </c>
      <c r="D409" s="2">
        <v>453</v>
      </c>
      <c r="E409" s="3" t="s">
        <v>797</v>
      </c>
      <c r="F409" s="3" t="s">
        <v>853</v>
      </c>
      <c r="G409" s="3" t="s">
        <v>854</v>
      </c>
      <c r="H409" s="2" t="s">
        <v>800</v>
      </c>
      <c r="I409" s="4"/>
      <c r="J409" s="4"/>
      <c r="K409" s="4"/>
      <c r="L409" s="5"/>
      <c r="M409" s="3"/>
    </row>
    <row r="410" spans="1:13" ht="43.2" x14ac:dyDescent="0.3">
      <c r="A410" s="2">
        <v>409</v>
      </c>
      <c r="B410" s="2" t="s">
        <v>481</v>
      </c>
      <c r="C410" s="2" t="s">
        <v>796</v>
      </c>
      <c r="D410" s="2">
        <v>474</v>
      </c>
      <c r="E410" s="3" t="s">
        <v>797</v>
      </c>
      <c r="F410" s="3" t="s">
        <v>855</v>
      </c>
      <c r="G410" s="3" t="s">
        <v>856</v>
      </c>
      <c r="H410" s="2" t="s">
        <v>800</v>
      </c>
      <c r="I410" s="4"/>
      <c r="J410" s="4"/>
      <c r="K410" s="4"/>
      <c r="L410" s="5"/>
      <c r="M410" s="3"/>
    </row>
    <row r="411" spans="1:13" ht="28.8" x14ac:dyDescent="0.3">
      <c r="A411" s="2">
        <v>410</v>
      </c>
      <c r="B411" s="2" t="s">
        <v>481</v>
      </c>
      <c r="C411" s="2" t="s">
        <v>796</v>
      </c>
      <c r="D411" s="2">
        <v>499</v>
      </c>
      <c r="E411" s="3" t="s">
        <v>797</v>
      </c>
      <c r="F411" s="3" t="s">
        <v>857</v>
      </c>
      <c r="G411" s="3" t="s">
        <v>858</v>
      </c>
      <c r="H411" s="2" t="s">
        <v>800</v>
      </c>
      <c r="I411" s="4"/>
      <c r="J411" s="4"/>
      <c r="K411" s="4"/>
      <c r="L411" s="5"/>
      <c r="M411" s="3"/>
    </row>
    <row r="412" spans="1:13" ht="28.8" x14ac:dyDescent="0.3">
      <c r="A412" s="2">
        <v>411</v>
      </c>
      <c r="B412" s="2" t="s">
        <v>481</v>
      </c>
      <c r="C412" s="2" t="s">
        <v>796</v>
      </c>
      <c r="D412" s="2">
        <v>519</v>
      </c>
      <c r="E412" s="3" t="s">
        <v>797</v>
      </c>
      <c r="F412" s="3" t="s">
        <v>859</v>
      </c>
      <c r="G412" s="3" t="s">
        <v>860</v>
      </c>
      <c r="H412" s="2" t="s">
        <v>800</v>
      </c>
      <c r="I412" s="4"/>
      <c r="J412" s="4"/>
      <c r="K412" s="4"/>
      <c r="L412" s="5"/>
      <c r="M412" s="3"/>
    </row>
    <row r="413" spans="1:13" ht="28.8" x14ac:dyDescent="0.3">
      <c r="A413" s="2">
        <v>412</v>
      </c>
      <c r="B413" s="2" t="s">
        <v>481</v>
      </c>
      <c r="C413" s="2" t="s">
        <v>796</v>
      </c>
      <c r="D413" s="2">
        <v>551</v>
      </c>
      <c r="E413" s="3" t="s">
        <v>797</v>
      </c>
      <c r="F413" s="3" t="s">
        <v>861</v>
      </c>
      <c r="G413" s="3" t="s">
        <v>862</v>
      </c>
      <c r="H413" s="2" t="s">
        <v>800</v>
      </c>
      <c r="I413" s="4"/>
      <c r="J413" s="4"/>
      <c r="K413" s="4"/>
      <c r="L413" s="5"/>
      <c r="M413" s="3"/>
    </row>
    <row r="414" spans="1:13" x14ac:dyDescent="0.3">
      <c r="A414" s="2">
        <v>413</v>
      </c>
      <c r="B414" s="2" t="s">
        <v>481</v>
      </c>
      <c r="C414" s="2" t="s">
        <v>796</v>
      </c>
      <c r="D414" s="2">
        <v>567</v>
      </c>
      <c r="E414" s="3" t="s">
        <v>797</v>
      </c>
      <c r="F414" s="3" t="s">
        <v>863</v>
      </c>
      <c r="G414" s="3" t="s">
        <v>864</v>
      </c>
      <c r="H414" s="2" t="s">
        <v>800</v>
      </c>
      <c r="I414" s="4"/>
      <c r="J414" s="4"/>
      <c r="K414" s="4"/>
      <c r="L414" s="5"/>
      <c r="M414" s="3"/>
    </row>
    <row r="415" spans="1:13" ht="28.8" x14ac:dyDescent="0.3">
      <c r="A415" s="2">
        <v>414</v>
      </c>
      <c r="B415" s="2" t="s">
        <v>481</v>
      </c>
      <c r="C415" s="2" t="s">
        <v>796</v>
      </c>
      <c r="D415" s="2">
        <v>590</v>
      </c>
      <c r="E415" s="3" t="s">
        <v>797</v>
      </c>
      <c r="F415" s="3" t="s">
        <v>865</v>
      </c>
      <c r="G415" s="3" t="s">
        <v>866</v>
      </c>
      <c r="H415" s="2"/>
      <c r="I415" s="4"/>
      <c r="J415" s="4"/>
      <c r="K415" s="4"/>
      <c r="L415" s="5"/>
      <c r="M415" s="3"/>
    </row>
    <row r="416" spans="1:13" ht="28.8" x14ac:dyDescent="0.3">
      <c r="A416" s="2">
        <v>415</v>
      </c>
      <c r="B416" s="2" t="s">
        <v>481</v>
      </c>
      <c r="C416" s="2" t="s">
        <v>796</v>
      </c>
      <c r="D416" s="2">
        <v>590</v>
      </c>
      <c r="E416" s="3" t="s">
        <v>797</v>
      </c>
      <c r="F416" s="3" t="s">
        <v>867</v>
      </c>
      <c r="G416" s="3" t="s">
        <v>868</v>
      </c>
      <c r="H416" s="2"/>
      <c r="I416" s="4"/>
      <c r="J416" s="4"/>
      <c r="K416" s="4"/>
      <c r="L416" s="5"/>
      <c r="M416" s="3"/>
    </row>
    <row r="417" spans="1:13" x14ac:dyDescent="0.3">
      <c r="A417" s="2">
        <v>416</v>
      </c>
      <c r="B417" s="2" t="s">
        <v>481</v>
      </c>
      <c r="C417" s="2" t="s">
        <v>796</v>
      </c>
      <c r="D417" s="2">
        <v>590</v>
      </c>
      <c r="E417" s="3" t="s">
        <v>797</v>
      </c>
      <c r="F417" s="3" t="s">
        <v>869</v>
      </c>
      <c r="G417" s="3" t="s">
        <v>870</v>
      </c>
      <c r="H417" s="2"/>
      <c r="I417" s="4"/>
      <c r="J417" s="4"/>
      <c r="K417" s="4"/>
      <c r="L417" s="5"/>
      <c r="M417" s="3"/>
    </row>
    <row r="418" spans="1:13" ht="28.8" x14ac:dyDescent="0.3">
      <c r="A418" s="2">
        <v>417</v>
      </c>
      <c r="B418" s="2" t="s">
        <v>481</v>
      </c>
      <c r="C418" s="2" t="s">
        <v>796</v>
      </c>
      <c r="D418" s="2">
        <v>590</v>
      </c>
      <c r="E418" s="3" t="s">
        <v>797</v>
      </c>
      <c r="F418" s="3" t="s">
        <v>871</v>
      </c>
      <c r="G418" s="3" t="s">
        <v>872</v>
      </c>
      <c r="H418" s="2"/>
      <c r="I418" s="4"/>
      <c r="J418" s="4"/>
      <c r="K418" s="4"/>
      <c r="L418" s="5"/>
      <c r="M418" s="3"/>
    </row>
    <row r="419" spans="1:13" x14ac:dyDescent="0.3">
      <c r="A419" s="2">
        <v>418</v>
      </c>
      <c r="B419" s="2" t="s">
        <v>481</v>
      </c>
      <c r="C419" s="2" t="s">
        <v>796</v>
      </c>
      <c r="D419" s="2">
        <v>590</v>
      </c>
      <c r="E419" s="3" t="s">
        <v>797</v>
      </c>
      <c r="F419" s="3" t="s">
        <v>873</v>
      </c>
      <c r="G419" s="3" t="s">
        <v>874</v>
      </c>
      <c r="H419" s="2"/>
      <c r="I419" s="4"/>
      <c r="J419" s="4"/>
      <c r="K419" s="4"/>
      <c r="L419" s="5"/>
      <c r="M419" s="3"/>
    </row>
    <row r="420" spans="1:13" x14ac:dyDescent="0.3">
      <c r="A420" s="2">
        <v>419</v>
      </c>
      <c r="B420" s="2" t="s">
        <v>481</v>
      </c>
      <c r="C420" s="2" t="s">
        <v>796</v>
      </c>
      <c r="D420" s="2">
        <v>590</v>
      </c>
      <c r="E420" s="3" t="s">
        <v>797</v>
      </c>
      <c r="F420" s="3" t="s">
        <v>875</v>
      </c>
      <c r="G420" s="3" t="s">
        <v>876</v>
      </c>
      <c r="H420" s="2"/>
      <c r="I420" s="4"/>
      <c r="J420" s="4"/>
      <c r="K420" s="4"/>
      <c r="L420" s="5"/>
      <c r="M420" s="3"/>
    </row>
    <row r="421" spans="1:13" x14ac:dyDescent="0.3">
      <c r="A421" s="2">
        <v>420</v>
      </c>
      <c r="B421" s="2" t="s">
        <v>481</v>
      </c>
      <c r="C421" s="2" t="s">
        <v>796</v>
      </c>
      <c r="D421" s="2">
        <v>590</v>
      </c>
      <c r="E421" s="3" t="s">
        <v>797</v>
      </c>
      <c r="F421" s="3" t="s">
        <v>877</v>
      </c>
      <c r="G421" s="3" t="s">
        <v>878</v>
      </c>
      <c r="H421" s="2"/>
      <c r="I421" s="4"/>
      <c r="J421" s="4"/>
      <c r="K421" s="4"/>
      <c r="L421" s="5"/>
      <c r="M421" s="3"/>
    </row>
    <row r="422" spans="1:13" ht="28.8" x14ac:dyDescent="0.3">
      <c r="A422" s="2">
        <v>421</v>
      </c>
      <c r="B422" s="2" t="s">
        <v>481</v>
      </c>
      <c r="C422" s="2" t="s">
        <v>796</v>
      </c>
      <c r="D422" s="2">
        <v>590</v>
      </c>
      <c r="E422" s="3" t="s">
        <v>797</v>
      </c>
      <c r="F422" s="3" t="s">
        <v>879</v>
      </c>
      <c r="G422" s="3" t="s">
        <v>880</v>
      </c>
      <c r="H422" s="2"/>
      <c r="I422" s="4"/>
      <c r="J422" s="4"/>
      <c r="K422" s="4"/>
      <c r="L422" s="5"/>
      <c r="M422" s="3"/>
    </row>
    <row r="423" spans="1:13" x14ac:dyDescent="0.3">
      <c r="A423" s="2">
        <v>422</v>
      </c>
      <c r="B423" s="2" t="s">
        <v>481</v>
      </c>
      <c r="C423" s="2" t="s">
        <v>796</v>
      </c>
      <c r="D423" s="2">
        <v>590</v>
      </c>
      <c r="E423" s="3" t="s">
        <v>797</v>
      </c>
      <c r="F423" s="3" t="s">
        <v>881</v>
      </c>
      <c r="G423" s="3" t="s">
        <v>882</v>
      </c>
      <c r="H423" s="2"/>
      <c r="I423" s="4"/>
      <c r="J423" s="4"/>
      <c r="K423" s="4"/>
      <c r="L423" s="5"/>
      <c r="M423" s="3"/>
    </row>
    <row r="424" spans="1:13" ht="28.8" x14ac:dyDescent="0.3">
      <c r="A424" s="2">
        <v>423</v>
      </c>
      <c r="B424" s="2" t="s">
        <v>481</v>
      </c>
      <c r="C424" s="2" t="s">
        <v>796</v>
      </c>
      <c r="D424" s="2">
        <v>590</v>
      </c>
      <c r="E424" s="3" t="s">
        <v>797</v>
      </c>
      <c r="F424" s="3" t="s">
        <v>883</v>
      </c>
      <c r="G424" s="3" t="s">
        <v>884</v>
      </c>
      <c r="H424" s="2"/>
      <c r="I424" s="4"/>
      <c r="J424" s="4"/>
      <c r="K424" s="4"/>
      <c r="L424" s="5"/>
      <c r="M424" s="3"/>
    </row>
    <row r="425" spans="1:13" ht="57.6" x14ac:dyDescent="0.3">
      <c r="A425" s="2">
        <v>424</v>
      </c>
      <c r="B425" s="2" t="s">
        <v>481</v>
      </c>
      <c r="C425" s="2" t="s">
        <v>885</v>
      </c>
      <c r="D425" s="2">
        <v>58</v>
      </c>
      <c r="E425" s="3" t="s">
        <v>886</v>
      </c>
      <c r="F425" s="3" t="s">
        <v>887</v>
      </c>
      <c r="G425" s="3" t="s">
        <v>888</v>
      </c>
      <c r="H425" s="2" t="s">
        <v>889</v>
      </c>
      <c r="I425" s="4"/>
      <c r="J425" s="4"/>
      <c r="K425" s="4"/>
      <c r="L425" s="5"/>
      <c r="M425" s="3"/>
    </row>
    <row r="426" spans="1:13" ht="28.8" x14ac:dyDescent="0.3">
      <c r="A426" s="2">
        <v>425</v>
      </c>
      <c r="B426" s="2" t="s">
        <v>481</v>
      </c>
      <c r="C426" s="2" t="s">
        <v>885</v>
      </c>
      <c r="D426" s="2">
        <v>78</v>
      </c>
      <c r="E426" s="3" t="s">
        <v>886</v>
      </c>
      <c r="F426" s="3" t="s">
        <v>890</v>
      </c>
      <c r="G426" s="3" t="s">
        <v>891</v>
      </c>
      <c r="H426" s="2" t="s">
        <v>889</v>
      </c>
      <c r="I426" s="4"/>
      <c r="J426" s="4"/>
      <c r="K426" s="4"/>
      <c r="L426" s="5"/>
      <c r="M426" s="3"/>
    </row>
    <row r="427" spans="1:13" ht="72" x14ac:dyDescent="0.3">
      <c r="A427" s="2">
        <v>426</v>
      </c>
      <c r="B427" s="2" t="s">
        <v>481</v>
      </c>
      <c r="C427" s="2" t="s">
        <v>885</v>
      </c>
      <c r="D427" s="2">
        <v>86</v>
      </c>
      <c r="E427" s="3" t="s">
        <v>886</v>
      </c>
      <c r="F427" s="3" t="s">
        <v>892</v>
      </c>
      <c r="G427" s="3" t="s">
        <v>893</v>
      </c>
      <c r="H427" s="2" t="s">
        <v>889</v>
      </c>
      <c r="I427" s="4"/>
      <c r="J427" s="4"/>
      <c r="K427" s="4"/>
      <c r="L427" s="5"/>
      <c r="M427" s="3"/>
    </row>
    <row r="428" spans="1:13" ht="43.2" x14ac:dyDescent="0.3">
      <c r="A428" s="2">
        <v>427</v>
      </c>
      <c r="B428" s="2" t="s">
        <v>481</v>
      </c>
      <c r="C428" s="2" t="s">
        <v>885</v>
      </c>
      <c r="D428" s="2">
        <v>101</v>
      </c>
      <c r="E428" s="3" t="s">
        <v>886</v>
      </c>
      <c r="F428" s="3" t="s">
        <v>894</v>
      </c>
      <c r="G428" s="3" t="s">
        <v>895</v>
      </c>
      <c r="H428" s="2" t="s">
        <v>889</v>
      </c>
      <c r="I428" s="4"/>
      <c r="J428" s="4"/>
      <c r="K428" s="4"/>
      <c r="L428" s="5"/>
      <c r="M428" s="3"/>
    </row>
    <row r="429" spans="1:13" ht="43.2" x14ac:dyDescent="0.3">
      <c r="A429" s="2">
        <v>428</v>
      </c>
      <c r="B429" s="2" t="s">
        <v>481</v>
      </c>
      <c r="C429" s="2" t="s">
        <v>885</v>
      </c>
      <c r="D429" s="2">
        <v>125</v>
      </c>
      <c r="E429" s="3" t="s">
        <v>886</v>
      </c>
      <c r="F429" s="3" t="s">
        <v>896</v>
      </c>
      <c r="G429" s="3" t="s">
        <v>897</v>
      </c>
      <c r="H429" s="2" t="s">
        <v>889</v>
      </c>
      <c r="I429" s="4"/>
      <c r="J429" s="4"/>
      <c r="K429" s="4"/>
      <c r="L429" s="5"/>
      <c r="M429" s="3"/>
    </row>
    <row r="430" spans="1:13" ht="28.8" x14ac:dyDescent="0.3">
      <c r="A430" s="2">
        <v>429</v>
      </c>
      <c r="B430" s="2" t="s">
        <v>481</v>
      </c>
      <c r="C430" s="2" t="s">
        <v>885</v>
      </c>
      <c r="D430" s="2">
        <v>133</v>
      </c>
      <c r="E430" s="3" t="s">
        <v>886</v>
      </c>
      <c r="F430" s="3" t="s">
        <v>898</v>
      </c>
      <c r="G430" s="3" t="s">
        <v>899</v>
      </c>
      <c r="H430" s="2" t="s">
        <v>889</v>
      </c>
      <c r="I430" s="4"/>
      <c r="J430" s="4"/>
      <c r="K430" s="4"/>
      <c r="L430" s="5"/>
      <c r="M430" s="3"/>
    </row>
    <row r="431" spans="1:13" ht="43.2" x14ac:dyDescent="0.3">
      <c r="A431" s="2">
        <v>430</v>
      </c>
      <c r="B431" s="2" t="s">
        <v>481</v>
      </c>
      <c r="C431" s="2" t="s">
        <v>885</v>
      </c>
      <c r="D431" s="2">
        <v>141</v>
      </c>
      <c r="E431" s="3" t="s">
        <v>886</v>
      </c>
      <c r="F431" s="3" t="s">
        <v>900</v>
      </c>
      <c r="G431" s="3" t="s">
        <v>901</v>
      </c>
      <c r="H431" s="2" t="s">
        <v>889</v>
      </c>
      <c r="I431" s="4"/>
      <c r="J431" s="4"/>
      <c r="K431" s="4"/>
      <c r="L431" s="5"/>
      <c r="M431" s="3"/>
    </row>
    <row r="432" spans="1:13" ht="43.2" x14ac:dyDescent="0.3">
      <c r="A432" s="2">
        <v>431</v>
      </c>
      <c r="B432" s="2" t="s">
        <v>481</v>
      </c>
      <c r="C432" s="2" t="s">
        <v>885</v>
      </c>
      <c r="D432" s="2">
        <v>158</v>
      </c>
      <c r="E432" s="3" t="s">
        <v>886</v>
      </c>
      <c r="F432" s="3" t="s">
        <v>902</v>
      </c>
      <c r="G432" s="3" t="s">
        <v>903</v>
      </c>
      <c r="H432" s="2" t="s">
        <v>889</v>
      </c>
      <c r="I432" s="4"/>
      <c r="J432" s="4"/>
      <c r="K432" s="4"/>
      <c r="L432" s="5"/>
      <c r="M432" s="3"/>
    </row>
    <row r="433" spans="1:13" x14ac:dyDescent="0.3">
      <c r="A433" s="2">
        <v>432</v>
      </c>
      <c r="B433" s="2" t="s">
        <v>481</v>
      </c>
      <c r="C433" s="2" t="s">
        <v>885</v>
      </c>
      <c r="D433" s="2">
        <v>176</v>
      </c>
      <c r="E433" s="3" t="s">
        <v>886</v>
      </c>
      <c r="F433" s="3" t="s">
        <v>904</v>
      </c>
      <c r="G433" s="3" t="s">
        <v>905</v>
      </c>
      <c r="H433" s="2" t="s">
        <v>889</v>
      </c>
      <c r="I433" s="4"/>
      <c r="J433" s="4"/>
      <c r="K433" s="4"/>
      <c r="L433" s="5"/>
      <c r="M433" s="3"/>
    </row>
    <row r="434" spans="1:13" ht="43.2" x14ac:dyDescent="0.3">
      <c r="A434" s="2">
        <v>433</v>
      </c>
      <c r="B434" s="2" t="s">
        <v>481</v>
      </c>
      <c r="C434" s="2" t="s">
        <v>885</v>
      </c>
      <c r="D434" s="2">
        <v>186</v>
      </c>
      <c r="E434" s="3" t="s">
        <v>886</v>
      </c>
      <c r="F434" s="3" t="s">
        <v>906</v>
      </c>
      <c r="G434" s="3" t="s">
        <v>907</v>
      </c>
      <c r="H434" s="2" t="s">
        <v>889</v>
      </c>
      <c r="I434" s="4"/>
      <c r="J434" s="4"/>
      <c r="K434" s="4"/>
      <c r="L434" s="5"/>
      <c r="M434" s="3"/>
    </row>
    <row r="435" spans="1:13" ht="28.8" x14ac:dyDescent="0.3">
      <c r="A435" s="2">
        <v>434</v>
      </c>
      <c r="B435" s="2" t="s">
        <v>481</v>
      </c>
      <c r="C435" s="2" t="s">
        <v>885</v>
      </c>
      <c r="D435" s="2">
        <v>200</v>
      </c>
      <c r="E435" s="3" t="s">
        <v>886</v>
      </c>
      <c r="F435" s="3" t="s">
        <v>908</v>
      </c>
      <c r="G435" s="3" t="s">
        <v>909</v>
      </c>
      <c r="H435" s="2" t="s">
        <v>889</v>
      </c>
      <c r="I435" s="4"/>
      <c r="J435" s="4"/>
      <c r="K435" s="4"/>
      <c r="L435" s="5"/>
      <c r="M435" s="3"/>
    </row>
    <row r="436" spans="1:13" ht="43.2" x14ac:dyDescent="0.3">
      <c r="A436" s="2">
        <v>435</v>
      </c>
      <c r="B436" s="2" t="s">
        <v>481</v>
      </c>
      <c r="C436" s="2" t="s">
        <v>885</v>
      </c>
      <c r="D436" s="2">
        <v>205</v>
      </c>
      <c r="E436" s="3" t="s">
        <v>886</v>
      </c>
      <c r="F436" s="3" t="s">
        <v>910</v>
      </c>
      <c r="G436" s="3" t="s">
        <v>911</v>
      </c>
      <c r="H436" s="2" t="s">
        <v>889</v>
      </c>
      <c r="I436" s="4"/>
      <c r="J436" s="4"/>
      <c r="K436" s="4"/>
      <c r="L436" s="5"/>
      <c r="M436" s="3"/>
    </row>
    <row r="437" spans="1:13" ht="43.2" x14ac:dyDescent="0.3">
      <c r="A437" s="2">
        <v>436</v>
      </c>
      <c r="B437" s="2" t="s">
        <v>481</v>
      </c>
      <c r="C437" s="2" t="s">
        <v>885</v>
      </c>
      <c r="D437" s="2">
        <v>217</v>
      </c>
      <c r="E437" s="3" t="s">
        <v>886</v>
      </c>
      <c r="F437" s="3" t="s">
        <v>912</v>
      </c>
      <c r="G437" s="3" t="s">
        <v>913</v>
      </c>
      <c r="H437" s="2" t="s">
        <v>889</v>
      </c>
      <c r="I437" s="4"/>
      <c r="J437" s="4"/>
      <c r="K437" s="4"/>
      <c r="L437" s="5"/>
      <c r="M437" s="3"/>
    </row>
    <row r="438" spans="1:13" ht="43.2" x14ac:dyDescent="0.3">
      <c r="A438" s="2">
        <v>437</v>
      </c>
      <c r="B438" s="2" t="s">
        <v>481</v>
      </c>
      <c r="C438" s="2" t="s">
        <v>885</v>
      </c>
      <c r="D438" s="2">
        <v>233</v>
      </c>
      <c r="E438" s="3" t="s">
        <v>886</v>
      </c>
      <c r="F438" s="3" t="s">
        <v>914</v>
      </c>
      <c r="G438" s="3" t="s">
        <v>915</v>
      </c>
      <c r="H438" s="2" t="s">
        <v>889</v>
      </c>
      <c r="I438" s="4"/>
      <c r="J438" s="4"/>
      <c r="K438" s="4"/>
      <c r="L438" s="5"/>
      <c r="M438" s="3"/>
    </row>
    <row r="439" spans="1:13" ht="57.6" x14ac:dyDescent="0.3">
      <c r="A439" s="2">
        <v>438</v>
      </c>
      <c r="B439" s="2" t="s">
        <v>481</v>
      </c>
      <c r="C439" s="2" t="s">
        <v>885</v>
      </c>
      <c r="D439" s="2">
        <v>244</v>
      </c>
      <c r="E439" s="3" t="s">
        <v>886</v>
      </c>
      <c r="F439" s="3" t="s">
        <v>916</v>
      </c>
      <c r="G439" s="3" t="s">
        <v>917</v>
      </c>
      <c r="H439" s="2" t="s">
        <v>889</v>
      </c>
      <c r="I439" s="4"/>
      <c r="J439" s="4"/>
      <c r="K439" s="4"/>
      <c r="L439" s="5"/>
      <c r="M439" s="3"/>
    </row>
    <row r="440" spans="1:13" ht="57.6" x14ac:dyDescent="0.3">
      <c r="A440" s="2">
        <v>439</v>
      </c>
      <c r="B440" s="2" t="s">
        <v>481</v>
      </c>
      <c r="C440" s="2" t="s">
        <v>885</v>
      </c>
      <c r="D440" s="2">
        <v>268</v>
      </c>
      <c r="E440" s="3" t="s">
        <v>886</v>
      </c>
      <c r="F440" s="3" t="s">
        <v>918</v>
      </c>
      <c r="G440" s="3" t="s">
        <v>919</v>
      </c>
      <c r="H440" s="2" t="s">
        <v>889</v>
      </c>
      <c r="I440" s="4"/>
      <c r="J440" s="4"/>
      <c r="K440" s="4"/>
      <c r="L440" s="5"/>
      <c r="M440" s="3"/>
    </row>
    <row r="441" spans="1:13" x14ac:dyDescent="0.3">
      <c r="A441" s="2">
        <v>440</v>
      </c>
      <c r="B441" s="2" t="s">
        <v>481</v>
      </c>
      <c r="C441" s="2" t="s">
        <v>885</v>
      </c>
      <c r="D441" s="2">
        <v>287</v>
      </c>
      <c r="E441" s="3" t="s">
        <v>886</v>
      </c>
      <c r="F441" s="3" t="s">
        <v>920</v>
      </c>
      <c r="G441" s="3" t="s">
        <v>921</v>
      </c>
      <c r="H441" s="2" t="s">
        <v>889</v>
      </c>
      <c r="I441" s="4"/>
      <c r="J441" s="4"/>
      <c r="K441" s="4"/>
      <c r="L441" s="5"/>
      <c r="M441" s="3"/>
    </row>
    <row r="442" spans="1:13" ht="28.8" x14ac:dyDescent="0.3">
      <c r="A442" s="2">
        <v>441</v>
      </c>
      <c r="B442" s="2" t="s">
        <v>481</v>
      </c>
      <c r="C442" s="2" t="s">
        <v>885</v>
      </c>
      <c r="D442" s="2">
        <v>296</v>
      </c>
      <c r="E442" s="3" t="s">
        <v>886</v>
      </c>
      <c r="F442" s="3" t="s">
        <v>922</v>
      </c>
      <c r="G442" s="3" t="s">
        <v>923</v>
      </c>
      <c r="H442" s="2" t="s">
        <v>889</v>
      </c>
      <c r="I442" s="4"/>
      <c r="J442" s="4"/>
      <c r="K442" s="4"/>
      <c r="L442" s="5"/>
      <c r="M442" s="3"/>
    </row>
    <row r="443" spans="1:13" ht="43.2" x14ac:dyDescent="0.3">
      <c r="A443" s="2">
        <v>442</v>
      </c>
      <c r="B443" s="2" t="s">
        <v>481</v>
      </c>
      <c r="C443" s="2" t="s">
        <v>885</v>
      </c>
      <c r="D443" s="2">
        <v>305</v>
      </c>
      <c r="E443" s="3" t="s">
        <v>886</v>
      </c>
      <c r="F443" s="3" t="s">
        <v>924</v>
      </c>
      <c r="G443" s="3" t="s">
        <v>925</v>
      </c>
      <c r="H443" s="2" t="s">
        <v>889</v>
      </c>
      <c r="I443" s="4"/>
      <c r="J443" s="4"/>
      <c r="K443" s="4"/>
      <c r="L443" s="5"/>
      <c r="M443" s="3"/>
    </row>
    <row r="444" spans="1:13" ht="28.8" x14ac:dyDescent="0.3">
      <c r="A444" s="2">
        <v>443</v>
      </c>
      <c r="B444" s="2" t="s">
        <v>481</v>
      </c>
      <c r="C444" s="2" t="s">
        <v>885</v>
      </c>
      <c r="D444" s="2">
        <v>318</v>
      </c>
      <c r="E444" s="3" t="s">
        <v>886</v>
      </c>
      <c r="F444" s="3" t="s">
        <v>926</v>
      </c>
      <c r="G444" s="3" t="s">
        <v>927</v>
      </c>
      <c r="H444" s="2" t="s">
        <v>889</v>
      </c>
      <c r="I444" s="4"/>
      <c r="J444" s="4"/>
      <c r="K444" s="4"/>
      <c r="L444" s="5"/>
      <c r="M444" s="3"/>
    </row>
    <row r="445" spans="1:13" ht="28.8" x14ac:dyDescent="0.3">
      <c r="A445" s="2">
        <v>444</v>
      </c>
      <c r="B445" s="2" t="s">
        <v>481</v>
      </c>
      <c r="C445" s="2" t="s">
        <v>885</v>
      </c>
      <c r="D445" s="2">
        <v>338</v>
      </c>
      <c r="E445" s="3" t="s">
        <v>886</v>
      </c>
      <c r="F445" s="3" t="s">
        <v>928</v>
      </c>
      <c r="G445" s="3" t="s">
        <v>929</v>
      </c>
      <c r="H445" s="2" t="s">
        <v>889</v>
      </c>
      <c r="I445" s="4"/>
      <c r="J445" s="4"/>
      <c r="K445" s="4"/>
      <c r="L445" s="5"/>
      <c r="M445" s="3"/>
    </row>
    <row r="446" spans="1:13" x14ac:dyDescent="0.3">
      <c r="A446" s="2">
        <v>445</v>
      </c>
      <c r="B446" s="2" t="s">
        <v>481</v>
      </c>
      <c r="C446" s="2" t="s">
        <v>885</v>
      </c>
      <c r="D446" s="2">
        <v>352</v>
      </c>
      <c r="E446" s="3" t="s">
        <v>886</v>
      </c>
      <c r="F446" s="3" t="s">
        <v>930</v>
      </c>
      <c r="G446" s="3" t="s">
        <v>931</v>
      </c>
      <c r="H446" s="2" t="s">
        <v>889</v>
      </c>
      <c r="I446" s="4"/>
      <c r="J446" s="4"/>
      <c r="K446" s="4"/>
      <c r="L446" s="5"/>
      <c r="M446" s="3"/>
    </row>
    <row r="447" spans="1:13" x14ac:dyDescent="0.3">
      <c r="A447" s="2">
        <v>446</v>
      </c>
      <c r="B447" s="2" t="s">
        <v>481</v>
      </c>
      <c r="C447" s="2" t="s">
        <v>885</v>
      </c>
      <c r="D447" s="2">
        <v>366</v>
      </c>
      <c r="E447" s="3" t="s">
        <v>886</v>
      </c>
      <c r="F447" s="3" t="s">
        <v>932</v>
      </c>
      <c r="G447" s="3" t="s">
        <v>933</v>
      </c>
      <c r="H447" s="2" t="s">
        <v>889</v>
      </c>
      <c r="I447" s="4"/>
      <c r="J447" s="4"/>
      <c r="K447" s="4"/>
      <c r="L447" s="5"/>
      <c r="M447" s="3"/>
    </row>
    <row r="448" spans="1:13" ht="57.6" x14ac:dyDescent="0.3">
      <c r="A448" s="2">
        <v>447</v>
      </c>
      <c r="B448" s="2" t="s">
        <v>481</v>
      </c>
      <c r="C448" s="2" t="s">
        <v>885</v>
      </c>
      <c r="D448" s="2">
        <v>373</v>
      </c>
      <c r="E448" s="3" t="s">
        <v>886</v>
      </c>
      <c r="F448" s="3" t="s">
        <v>934</v>
      </c>
      <c r="G448" s="3" t="s">
        <v>935</v>
      </c>
      <c r="H448" s="2" t="s">
        <v>889</v>
      </c>
      <c r="I448" s="4"/>
      <c r="J448" s="4"/>
      <c r="K448" s="4"/>
      <c r="L448" s="5"/>
      <c r="M448" s="3"/>
    </row>
    <row r="449" spans="1:13" x14ac:dyDescent="0.3">
      <c r="A449" s="2">
        <v>448</v>
      </c>
      <c r="B449" s="2" t="s">
        <v>481</v>
      </c>
      <c r="C449" s="2" t="s">
        <v>885</v>
      </c>
      <c r="D449" s="2">
        <v>392</v>
      </c>
      <c r="E449" s="3" t="s">
        <v>886</v>
      </c>
      <c r="F449" s="3" t="s">
        <v>936</v>
      </c>
      <c r="G449" s="3" t="s">
        <v>937</v>
      </c>
      <c r="H449" s="2" t="s">
        <v>889</v>
      </c>
      <c r="I449" s="4"/>
      <c r="J449" s="4"/>
      <c r="K449" s="4"/>
      <c r="L449" s="5"/>
      <c r="M449" s="3"/>
    </row>
    <row r="450" spans="1:13" ht="28.8" x14ac:dyDescent="0.3">
      <c r="A450" s="2">
        <v>449</v>
      </c>
      <c r="B450" s="2" t="s">
        <v>481</v>
      </c>
      <c r="C450" s="2" t="s">
        <v>885</v>
      </c>
      <c r="D450" s="2">
        <v>402</v>
      </c>
      <c r="E450" s="3" t="s">
        <v>886</v>
      </c>
      <c r="F450" s="3" t="s">
        <v>938</v>
      </c>
      <c r="G450" s="3" t="s">
        <v>939</v>
      </c>
      <c r="H450" s="2" t="s">
        <v>889</v>
      </c>
      <c r="I450" s="4"/>
      <c r="J450" s="4"/>
      <c r="K450" s="4"/>
      <c r="L450" s="5"/>
      <c r="M450" s="3"/>
    </row>
    <row r="451" spans="1:13" ht="43.2" x14ac:dyDescent="0.3">
      <c r="A451" s="2">
        <v>450</v>
      </c>
      <c r="B451" s="2" t="s">
        <v>481</v>
      </c>
      <c r="C451" s="2" t="s">
        <v>885</v>
      </c>
      <c r="D451" s="2">
        <v>424</v>
      </c>
      <c r="E451" s="3" t="s">
        <v>886</v>
      </c>
      <c r="F451" s="3" t="s">
        <v>940</v>
      </c>
      <c r="G451" s="3" t="s">
        <v>941</v>
      </c>
      <c r="H451" s="2" t="s">
        <v>889</v>
      </c>
      <c r="I451" s="4"/>
      <c r="J451" s="4"/>
      <c r="K451" s="4"/>
      <c r="L451" s="5"/>
      <c r="M451" s="3"/>
    </row>
    <row r="452" spans="1:13" ht="28.8" x14ac:dyDescent="0.3">
      <c r="A452" s="2">
        <v>451</v>
      </c>
      <c r="B452" s="2" t="s">
        <v>481</v>
      </c>
      <c r="C452" s="2" t="s">
        <v>885</v>
      </c>
      <c r="D452" s="2">
        <v>438</v>
      </c>
      <c r="E452" s="3" t="s">
        <v>886</v>
      </c>
      <c r="F452" s="3" t="s">
        <v>942</v>
      </c>
      <c r="G452" s="3" t="s">
        <v>943</v>
      </c>
      <c r="H452" s="2" t="s">
        <v>889</v>
      </c>
      <c r="I452" s="4"/>
      <c r="J452" s="4"/>
      <c r="K452" s="4"/>
      <c r="L452" s="5"/>
      <c r="M452" s="3"/>
    </row>
    <row r="453" spans="1:13" ht="172.8" x14ac:dyDescent="0.3">
      <c r="A453" s="2">
        <v>452</v>
      </c>
      <c r="B453" s="2" t="s">
        <v>481</v>
      </c>
      <c r="C453" s="2" t="s">
        <v>885</v>
      </c>
      <c r="D453" s="2">
        <v>467</v>
      </c>
      <c r="E453" s="3" t="s">
        <v>886</v>
      </c>
      <c r="F453" s="3" t="s">
        <v>944</v>
      </c>
      <c r="G453" s="3" t="s">
        <v>945</v>
      </c>
      <c r="H453" s="2"/>
      <c r="I453" s="4"/>
      <c r="J453" s="4"/>
      <c r="K453" s="4"/>
      <c r="L453" s="5"/>
      <c r="M453" s="3"/>
    </row>
    <row r="454" spans="1:13" ht="28.8" x14ac:dyDescent="0.3">
      <c r="A454" s="2">
        <v>453</v>
      </c>
      <c r="B454" s="2" t="s">
        <v>481</v>
      </c>
      <c r="C454" s="2" t="s">
        <v>885</v>
      </c>
      <c r="D454" s="2">
        <v>467</v>
      </c>
      <c r="E454" s="3" t="s">
        <v>886</v>
      </c>
      <c r="F454" s="3" t="s">
        <v>946</v>
      </c>
      <c r="G454" s="3" t="s">
        <v>947</v>
      </c>
      <c r="H454" s="2"/>
      <c r="I454" s="4"/>
      <c r="J454" s="4"/>
      <c r="K454" s="4"/>
      <c r="L454" s="5"/>
      <c r="M454" s="3"/>
    </row>
    <row r="455" spans="1:13" ht="43.2" x14ac:dyDescent="0.3">
      <c r="A455" s="2">
        <v>454</v>
      </c>
      <c r="B455" s="2" t="s">
        <v>481</v>
      </c>
      <c r="C455" s="2" t="s">
        <v>885</v>
      </c>
      <c r="D455" s="2">
        <v>467</v>
      </c>
      <c r="E455" s="3" t="s">
        <v>886</v>
      </c>
      <c r="F455" s="3" t="s">
        <v>948</v>
      </c>
      <c r="G455" s="3" t="s">
        <v>949</v>
      </c>
      <c r="H455" s="2"/>
      <c r="I455" s="4"/>
      <c r="J455" s="4"/>
      <c r="K455" s="4"/>
      <c r="L455" s="5"/>
      <c r="M455" s="3"/>
    </row>
    <row r="456" spans="1:13" ht="72" x14ac:dyDescent="0.3">
      <c r="A456" s="2">
        <v>455</v>
      </c>
      <c r="B456" s="2" t="s">
        <v>481</v>
      </c>
      <c r="C456" s="2" t="s">
        <v>885</v>
      </c>
      <c r="D456" s="2">
        <v>467</v>
      </c>
      <c r="E456" s="3" t="s">
        <v>886</v>
      </c>
      <c r="F456" s="3" t="s">
        <v>950</v>
      </c>
      <c r="G456" s="3" t="s">
        <v>951</v>
      </c>
      <c r="H456" s="2"/>
      <c r="I456" s="4"/>
      <c r="J456" s="4"/>
      <c r="K456" s="4"/>
      <c r="L456" s="5"/>
      <c r="M456" s="3"/>
    </row>
    <row r="457" spans="1:13" ht="28.8" x14ac:dyDescent="0.3">
      <c r="A457" s="2">
        <v>456</v>
      </c>
      <c r="B457" s="2" t="s">
        <v>481</v>
      </c>
      <c r="C457" s="2" t="s">
        <v>885</v>
      </c>
      <c r="D457" s="2">
        <v>467</v>
      </c>
      <c r="E457" s="3" t="s">
        <v>886</v>
      </c>
      <c r="F457" s="3" t="s">
        <v>952</v>
      </c>
      <c r="G457" s="3" t="s">
        <v>953</v>
      </c>
      <c r="H457" s="2"/>
      <c r="I457" s="4"/>
      <c r="J457" s="4"/>
      <c r="K457" s="4"/>
      <c r="L457" s="5"/>
      <c r="M457" s="3"/>
    </row>
    <row r="458" spans="1:13" x14ac:dyDescent="0.3">
      <c r="A458" s="2">
        <v>457</v>
      </c>
      <c r="B458" s="2" t="s">
        <v>481</v>
      </c>
      <c r="C458" s="2" t="s">
        <v>885</v>
      </c>
      <c r="D458" s="2">
        <v>467</v>
      </c>
      <c r="E458" s="3" t="s">
        <v>886</v>
      </c>
      <c r="F458" s="3" t="s">
        <v>954</v>
      </c>
      <c r="G458" s="3" t="s">
        <v>955</v>
      </c>
      <c r="H458" s="2"/>
      <c r="I458" s="4"/>
      <c r="J458" s="4"/>
      <c r="K458" s="4"/>
      <c r="L458" s="5"/>
      <c r="M458" s="3"/>
    </row>
    <row r="459" spans="1:13" ht="43.2" x14ac:dyDescent="0.3">
      <c r="A459" s="2">
        <v>458</v>
      </c>
      <c r="B459" s="2" t="s">
        <v>481</v>
      </c>
      <c r="C459" s="2" t="s">
        <v>885</v>
      </c>
      <c r="D459" s="2">
        <v>467</v>
      </c>
      <c r="E459" s="3" t="s">
        <v>886</v>
      </c>
      <c r="F459" s="3" t="s">
        <v>956</v>
      </c>
      <c r="G459" s="3" t="s">
        <v>957</v>
      </c>
      <c r="H459" s="2"/>
      <c r="I459" s="4"/>
      <c r="J459" s="4"/>
      <c r="K459" s="4"/>
      <c r="L459" s="5"/>
      <c r="M459" s="3"/>
    </row>
    <row r="460" spans="1:13" ht="28.8" x14ac:dyDescent="0.3">
      <c r="A460" s="2">
        <v>459</v>
      </c>
      <c r="B460" s="2" t="s">
        <v>481</v>
      </c>
      <c r="C460" s="2" t="s">
        <v>885</v>
      </c>
      <c r="D460" s="2">
        <v>467</v>
      </c>
      <c r="E460" s="3" t="s">
        <v>886</v>
      </c>
      <c r="F460" s="3" t="s">
        <v>958</v>
      </c>
      <c r="G460" s="3" t="s">
        <v>959</v>
      </c>
      <c r="H460" s="2"/>
      <c r="I460" s="4"/>
      <c r="J460" s="4"/>
      <c r="K460" s="4"/>
      <c r="L460" s="5"/>
      <c r="M460" s="3"/>
    </row>
    <row r="461" spans="1:13" ht="28.8" x14ac:dyDescent="0.3">
      <c r="A461" s="2">
        <v>460</v>
      </c>
      <c r="B461" s="2" t="s">
        <v>481</v>
      </c>
      <c r="C461" s="2" t="s">
        <v>885</v>
      </c>
      <c r="D461" s="2">
        <v>467</v>
      </c>
      <c r="E461" s="3" t="s">
        <v>886</v>
      </c>
      <c r="F461" s="3" t="s">
        <v>960</v>
      </c>
      <c r="G461" s="3" t="s">
        <v>961</v>
      </c>
      <c r="H461" s="2"/>
      <c r="I461" s="4"/>
      <c r="J461" s="4"/>
      <c r="K461" s="4"/>
      <c r="L461" s="5"/>
      <c r="M461" s="3"/>
    </row>
    <row r="462" spans="1:13" x14ac:dyDescent="0.3">
      <c r="A462" s="2">
        <v>461</v>
      </c>
      <c r="B462" s="2" t="s">
        <v>481</v>
      </c>
      <c r="C462" s="2" t="s">
        <v>885</v>
      </c>
      <c r="D462" s="2">
        <v>467</v>
      </c>
      <c r="E462" s="3" t="s">
        <v>886</v>
      </c>
      <c r="F462" s="3" t="s">
        <v>962</v>
      </c>
      <c r="G462" s="3" t="s">
        <v>963</v>
      </c>
      <c r="H462" s="2"/>
      <c r="I462" s="4"/>
      <c r="J462" s="4"/>
      <c r="K462" s="4"/>
      <c r="L462" s="5"/>
      <c r="M462" s="3"/>
    </row>
    <row r="463" spans="1:13" x14ac:dyDescent="0.3">
      <c r="A463" s="2">
        <v>462</v>
      </c>
      <c r="B463" s="2" t="s">
        <v>481</v>
      </c>
      <c r="C463" s="2" t="s">
        <v>885</v>
      </c>
      <c r="D463" s="2">
        <v>467</v>
      </c>
      <c r="E463" s="3" t="s">
        <v>886</v>
      </c>
      <c r="F463" s="3" t="s">
        <v>964</v>
      </c>
      <c r="G463" s="3" t="s">
        <v>965</v>
      </c>
      <c r="H463" s="2"/>
      <c r="I463" s="4"/>
      <c r="J463" s="4"/>
      <c r="K463" s="4"/>
      <c r="L463" s="5"/>
      <c r="M463" s="3"/>
    </row>
    <row r="464" spans="1:13" x14ac:dyDescent="0.3">
      <c r="A464" s="2">
        <v>463</v>
      </c>
      <c r="B464" s="2" t="s">
        <v>481</v>
      </c>
      <c r="C464" s="2" t="s">
        <v>885</v>
      </c>
      <c r="D464" s="2">
        <v>467</v>
      </c>
      <c r="E464" s="3" t="s">
        <v>886</v>
      </c>
      <c r="F464" s="3" t="s">
        <v>966</v>
      </c>
      <c r="G464" s="3" t="s">
        <v>967</v>
      </c>
      <c r="H464" s="2"/>
      <c r="I464" s="4"/>
      <c r="J464" s="4"/>
      <c r="K464" s="4"/>
      <c r="L464" s="5"/>
      <c r="M464" s="3"/>
    </row>
    <row r="465" spans="1:13" ht="28.8" x14ac:dyDescent="0.3">
      <c r="A465" s="2">
        <v>464</v>
      </c>
      <c r="B465" s="2" t="s">
        <v>481</v>
      </c>
      <c r="C465" s="2" t="s">
        <v>885</v>
      </c>
      <c r="D465" s="2">
        <v>467</v>
      </c>
      <c r="E465" s="3" t="s">
        <v>886</v>
      </c>
      <c r="F465" s="3" t="s">
        <v>968</v>
      </c>
      <c r="G465" s="3" t="s">
        <v>969</v>
      </c>
      <c r="H465" s="2"/>
      <c r="I465" s="4"/>
      <c r="J465" s="4"/>
      <c r="K465" s="4"/>
      <c r="L465" s="5"/>
      <c r="M465" s="3"/>
    </row>
    <row r="466" spans="1:13" ht="28.8" x14ac:dyDescent="0.3">
      <c r="A466" s="2">
        <v>465</v>
      </c>
      <c r="B466" s="2" t="s">
        <v>481</v>
      </c>
      <c r="C466" s="2" t="s">
        <v>885</v>
      </c>
      <c r="D466" s="2">
        <v>467</v>
      </c>
      <c r="E466" s="3" t="s">
        <v>886</v>
      </c>
      <c r="F466" s="3" t="s">
        <v>970</v>
      </c>
      <c r="G466" s="3" t="s">
        <v>971</v>
      </c>
      <c r="H466" s="2"/>
      <c r="I466" s="4"/>
      <c r="J466" s="4"/>
      <c r="K466" s="4"/>
      <c r="L466" s="5"/>
      <c r="M466" s="3"/>
    </row>
    <row r="467" spans="1:13" ht="28.8" x14ac:dyDescent="0.3">
      <c r="A467" s="2">
        <v>466</v>
      </c>
      <c r="B467" s="2" t="s">
        <v>481</v>
      </c>
      <c r="C467" s="2" t="s">
        <v>972</v>
      </c>
      <c r="D467" s="2">
        <v>66</v>
      </c>
      <c r="E467" s="3" t="s">
        <v>973</v>
      </c>
      <c r="F467" s="3" t="s">
        <v>974</v>
      </c>
      <c r="G467" s="3" t="s">
        <v>975</v>
      </c>
      <c r="H467" s="2" t="s">
        <v>976</v>
      </c>
      <c r="I467" s="4"/>
      <c r="J467" s="4"/>
      <c r="K467" s="4"/>
      <c r="L467" s="5"/>
      <c r="M467" s="3"/>
    </row>
    <row r="468" spans="1:13" ht="57.6" x14ac:dyDescent="0.3">
      <c r="A468" s="2">
        <v>467</v>
      </c>
      <c r="B468" s="2" t="s">
        <v>481</v>
      </c>
      <c r="C468" s="2" t="s">
        <v>972</v>
      </c>
      <c r="D468" s="2">
        <v>76</v>
      </c>
      <c r="E468" s="3" t="s">
        <v>973</v>
      </c>
      <c r="F468" s="3" t="s">
        <v>977</v>
      </c>
      <c r="G468" s="3" t="s">
        <v>978</v>
      </c>
      <c r="H468" s="2" t="s">
        <v>976</v>
      </c>
      <c r="I468" s="4"/>
      <c r="J468" s="4"/>
      <c r="K468" s="4"/>
      <c r="L468" s="5"/>
      <c r="M468" s="3"/>
    </row>
    <row r="469" spans="1:13" ht="28.8" x14ac:dyDescent="0.3">
      <c r="A469" s="2">
        <v>468</v>
      </c>
      <c r="B469" s="2" t="s">
        <v>481</v>
      </c>
      <c r="C469" s="2" t="s">
        <v>972</v>
      </c>
      <c r="D469" s="2">
        <v>95</v>
      </c>
      <c r="E469" s="3" t="s">
        <v>973</v>
      </c>
      <c r="F469" s="3" t="s">
        <v>979</v>
      </c>
      <c r="G469" s="3" t="s">
        <v>980</v>
      </c>
      <c r="H469" s="2" t="s">
        <v>976</v>
      </c>
      <c r="I469" s="4"/>
      <c r="J469" s="4"/>
      <c r="K469" s="4"/>
      <c r="L469" s="5"/>
      <c r="M469" s="3"/>
    </row>
    <row r="470" spans="1:13" ht="57.6" x14ac:dyDescent="0.3">
      <c r="A470" s="2">
        <v>469</v>
      </c>
      <c r="B470" s="2" t="s">
        <v>481</v>
      </c>
      <c r="C470" s="2" t="s">
        <v>972</v>
      </c>
      <c r="D470" s="2">
        <v>108</v>
      </c>
      <c r="E470" s="3" t="s">
        <v>973</v>
      </c>
      <c r="F470" s="3" t="s">
        <v>981</v>
      </c>
      <c r="G470" s="3" t="s">
        <v>982</v>
      </c>
      <c r="H470" s="2" t="s">
        <v>976</v>
      </c>
      <c r="I470" s="4"/>
      <c r="J470" s="4"/>
      <c r="K470" s="4"/>
      <c r="L470" s="5"/>
      <c r="M470" s="3"/>
    </row>
    <row r="471" spans="1:13" ht="57.6" x14ac:dyDescent="0.3">
      <c r="A471" s="2">
        <v>470</v>
      </c>
      <c r="B471" s="2" t="s">
        <v>481</v>
      </c>
      <c r="C471" s="2" t="s">
        <v>972</v>
      </c>
      <c r="D471" s="2">
        <v>127</v>
      </c>
      <c r="E471" s="3" t="s">
        <v>973</v>
      </c>
      <c r="F471" s="3" t="s">
        <v>983</v>
      </c>
      <c r="G471" s="3" t="s">
        <v>984</v>
      </c>
      <c r="H471" s="2" t="s">
        <v>976</v>
      </c>
      <c r="I471" s="4"/>
      <c r="J471" s="4"/>
      <c r="K471" s="4"/>
      <c r="L471" s="5"/>
      <c r="M471" s="3"/>
    </row>
    <row r="472" spans="1:13" ht="28.8" x14ac:dyDescent="0.3">
      <c r="A472" s="2">
        <v>471</v>
      </c>
      <c r="B472" s="2" t="s">
        <v>481</v>
      </c>
      <c r="C472" s="2" t="s">
        <v>972</v>
      </c>
      <c r="D472" s="2">
        <v>155</v>
      </c>
      <c r="E472" s="3" t="s">
        <v>973</v>
      </c>
      <c r="F472" s="3" t="s">
        <v>985</v>
      </c>
      <c r="G472" s="3" t="s">
        <v>986</v>
      </c>
      <c r="H472" s="2" t="s">
        <v>976</v>
      </c>
      <c r="I472" s="4"/>
      <c r="J472" s="4"/>
      <c r="K472" s="4"/>
      <c r="L472" s="5"/>
      <c r="M472" s="3"/>
    </row>
    <row r="473" spans="1:13" ht="28.8" x14ac:dyDescent="0.3">
      <c r="A473" s="2">
        <v>472</v>
      </c>
      <c r="B473" s="2" t="s">
        <v>481</v>
      </c>
      <c r="C473" s="2" t="s">
        <v>972</v>
      </c>
      <c r="D473" s="2">
        <v>167</v>
      </c>
      <c r="E473" s="3" t="s">
        <v>973</v>
      </c>
      <c r="F473" s="3" t="s">
        <v>987</v>
      </c>
      <c r="G473" s="3" t="s">
        <v>988</v>
      </c>
      <c r="H473" s="2" t="s">
        <v>976</v>
      </c>
      <c r="I473" s="4"/>
      <c r="J473" s="4"/>
      <c r="K473" s="4"/>
      <c r="L473" s="5"/>
      <c r="M473" s="3"/>
    </row>
    <row r="474" spans="1:13" ht="28.8" x14ac:dyDescent="0.3">
      <c r="A474" s="2">
        <v>473</v>
      </c>
      <c r="B474" s="2" t="s">
        <v>481</v>
      </c>
      <c r="C474" s="2" t="s">
        <v>972</v>
      </c>
      <c r="D474" s="2">
        <v>182</v>
      </c>
      <c r="E474" s="3" t="s">
        <v>973</v>
      </c>
      <c r="F474" s="3" t="s">
        <v>989</v>
      </c>
      <c r="G474" s="3" t="s">
        <v>990</v>
      </c>
      <c r="H474" s="2" t="s">
        <v>976</v>
      </c>
      <c r="I474" s="4"/>
      <c r="J474" s="4"/>
      <c r="K474" s="4"/>
      <c r="L474" s="5"/>
      <c r="M474" s="3"/>
    </row>
    <row r="475" spans="1:13" ht="72" x14ac:dyDescent="0.3">
      <c r="A475" s="2">
        <v>474</v>
      </c>
      <c r="B475" s="2" t="s">
        <v>481</v>
      </c>
      <c r="C475" s="2" t="s">
        <v>972</v>
      </c>
      <c r="D475" s="2">
        <v>193</v>
      </c>
      <c r="E475" s="3" t="s">
        <v>973</v>
      </c>
      <c r="F475" s="3" t="s">
        <v>991</v>
      </c>
      <c r="G475" s="3" t="s">
        <v>992</v>
      </c>
      <c r="H475" s="2" t="s">
        <v>976</v>
      </c>
      <c r="I475" s="4"/>
      <c r="J475" s="4"/>
      <c r="K475" s="4"/>
      <c r="L475" s="5"/>
      <c r="M475" s="3"/>
    </row>
    <row r="476" spans="1:13" ht="43.2" x14ac:dyDescent="0.3">
      <c r="A476" s="2">
        <v>475</v>
      </c>
      <c r="B476" s="2" t="s">
        <v>481</v>
      </c>
      <c r="C476" s="2" t="s">
        <v>972</v>
      </c>
      <c r="D476" s="2">
        <v>211</v>
      </c>
      <c r="E476" s="3" t="s">
        <v>973</v>
      </c>
      <c r="F476" s="3" t="s">
        <v>993</v>
      </c>
      <c r="G476" s="3" t="s">
        <v>994</v>
      </c>
      <c r="H476" s="2" t="s">
        <v>976</v>
      </c>
      <c r="I476" s="4"/>
      <c r="J476" s="4"/>
      <c r="K476" s="4"/>
      <c r="L476" s="5"/>
      <c r="M476" s="3"/>
    </row>
    <row r="477" spans="1:13" ht="28.8" x14ac:dyDescent="0.3">
      <c r="A477" s="2">
        <v>476</v>
      </c>
      <c r="B477" s="2" t="s">
        <v>481</v>
      </c>
      <c r="C477" s="2" t="s">
        <v>972</v>
      </c>
      <c r="D477" s="2">
        <v>219</v>
      </c>
      <c r="E477" s="3" t="s">
        <v>973</v>
      </c>
      <c r="F477" s="3" t="s">
        <v>995</v>
      </c>
      <c r="G477" s="3" t="s">
        <v>996</v>
      </c>
      <c r="H477" s="2" t="s">
        <v>976</v>
      </c>
      <c r="I477" s="4"/>
      <c r="J477" s="4"/>
      <c r="K477" s="4"/>
      <c r="L477" s="5"/>
      <c r="M477" s="3"/>
    </row>
    <row r="478" spans="1:13" ht="43.2" x14ac:dyDescent="0.3">
      <c r="A478" s="2">
        <v>477</v>
      </c>
      <c r="B478" s="2" t="s">
        <v>481</v>
      </c>
      <c r="C478" s="2" t="s">
        <v>972</v>
      </c>
      <c r="D478" s="2">
        <v>237</v>
      </c>
      <c r="E478" s="3" t="s">
        <v>973</v>
      </c>
      <c r="F478" s="3" t="s">
        <v>997</v>
      </c>
      <c r="G478" s="3" t="s">
        <v>998</v>
      </c>
      <c r="H478" s="2" t="s">
        <v>976</v>
      </c>
      <c r="I478" s="4"/>
      <c r="J478" s="4"/>
      <c r="K478" s="4"/>
      <c r="L478" s="5"/>
      <c r="M478" s="3"/>
    </row>
    <row r="479" spans="1:13" ht="43.2" x14ac:dyDescent="0.3">
      <c r="A479" s="2">
        <v>478</v>
      </c>
      <c r="B479" s="2" t="s">
        <v>481</v>
      </c>
      <c r="C479" s="2" t="s">
        <v>972</v>
      </c>
      <c r="D479" s="2">
        <v>251</v>
      </c>
      <c r="E479" s="3" t="s">
        <v>973</v>
      </c>
      <c r="F479" s="3" t="s">
        <v>999</v>
      </c>
      <c r="G479" s="3" t="s">
        <v>1000</v>
      </c>
      <c r="H479" s="2" t="s">
        <v>976</v>
      </c>
      <c r="I479" s="4"/>
      <c r="J479" s="4"/>
      <c r="K479" s="4"/>
      <c r="L479" s="5"/>
      <c r="M479" s="3"/>
    </row>
    <row r="480" spans="1:13" ht="43.2" x14ac:dyDescent="0.3">
      <c r="A480" s="2">
        <v>479</v>
      </c>
      <c r="B480" s="2" t="s">
        <v>481</v>
      </c>
      <c r="C480" s="2" t="s">
        <v>972</v>
      </c>
      <c r="D480" s="2">
        <v>266</v>
      </c>
      <c r="E480" s="3" t="s">
        <v>973</v>
      </c>
      <c r="F480" s="3" t="s">
        <v>1001</v>
      </c>
      <c r="G480" s="3" t="s">
        <v>1002</v>
      </c>
      <c r="H480" s="2" t="s">
        <v>976</v>
      </c>
      <c r="I480" s="4"/>
      <c r="J480" s="4"/>
      <c r="K480" s="4"/>
      <c r="L480" s="5"/>
      <c r="M480" s="3"/>
    </row>
    <row r="481" spans="1:13" x14ac:dyDescent="0.3">
      <c r="A481" s="2">
        <v>480</v>
      </c>
      <c r="B481" s="2" t="s">
        <v>481</v>
      </c>
      <c r="C481" s="2" t="s">
        <v>972</v>
      </c>
      <c r="D481" s="2">
        <v>282</v>
      </c>
      <c r="E481" s="3" t="s">
        <v>973</v>
      </c>
      <c r="F481" s="3" t="s">
        <v>1003</v>
      </c>
      <c r="G481" s="3" t="s">
        <v>1004</v>
      </c>
      <c r="H481" s="2" t="s">
        <v>976</v>
      </c>
      <c r="I481" s="4"/>
      <c r="J481" s="4"/>
      <c r="K481" s="4"/>
      <c r="L481" s="5"/>
      <c r="M481" s="3"/>
    </row>
    <row r="482" spans="1:13" ht="57.6" x14ac:dyDescent="0.3">
      <c r="A482" s="2">
        <v>481</v>
      </c>
      <c r="B482" s="2" t="s">
        <v>481</v>
      </c>
      <c r="C482" s="2" t="s">
        <v>972</v>
      </c>
      <c r="D482" s="2">
        <v>290</v>
      </c>
      <c r="E482" s="3" t="s">
        <v>973</v>
      </c>
      <c r="F482" s="3" t="s">
        <v>1005</v>
      </c>
      <c r="G482" s="3" t="s">
        <v>1006</v>
      </c>
      <c r="H482" s="2" t="s">
        <v>976</v>
      </c>
      <c r="I482" s="4"/>
      <c r="J482" s="4"/>
      <c r="K482" s="4"/>
      <c r="L482" s="5"/>
      <c r="M482" s="3"/>
    </row>
    <row r="483" spans="1:13" ht="28.8" x14ac:dyDescent="0.3">
      <c r="A483" s="2">
        <v>482</v>
      </c>
      <c r="B483" s="2" t="s">
        <v>481</v>
      </c>
      <c r="C483" s="2" t="s">
        <v>972</v>
      </c>
      <c r="D483" s="2">
        <v>296</v>
      </c>
      <c r="E483" s="3" t="s">
        <v>973</v>
      </c>
      <c r="F483" s="3" t="s">
        <v>1007</v>
      </c>
      <c r="G483" s="3" t="s">
        <v>1008</v>
      </c>
      <c r="H483" s="2" t="s">
        <v>976</v>
      </c>
      <c r="I483" s="4"/>
      <c r="J483" s="4"/>
      <c r="K483" s="4"/>
      <c r="L483" s="5"/>
      <c r="M483" s="3"/>
    </row>
    <row r="484" spans="1:13" ht="43.2" x14ac:dyDescent="0.3">
      <c r="A484" s="2">
        <v>483</v>
      </c>
      <c r="B484" s="2" t="s">
        <v>481</v>
      </c>
      <c r="C484" s="2" t="s">
        <v>972</v>
      </c>
      <c r="D484" s="2">
        <v>310</v>
      </c>
      <c r="E484" s="3" t="s">
        <v>973</v>
      </c>
      <c r="F484" s="3" t="s">
        <v>1009</v>
      </c>
      <c r="G484" s="3" t="s">
        <v>1010</v>
      </c>
      <c r="H484" s="2" t="s">
        <v>976</v>
      </c>
      <c r="I484" s="4"/>
      <c r="J484" s="4"/>
      <c r="K484" s="4"/>
      <c r="L484" s="5"/>
      <c r="M484" s="3"/>
    </row>
    <row r="485" spans="1:13" ht="28.8" x14ac:dyDescent="0.3">
      <c r="A485" s="2">
        <v>484</v>
      </c>
      <c r="B485" s="2" t="s">
        <v>481</v>
      </c>
      <c r="C485" s="2" t="s">
        <v>972</v>
      </c>
      <c r="D485" s="2">
        <v>323</v>
      </c>
      <c r="E485" s="3" t="s">
        <v>973</v>
      </c>
      <c r="F485" s="3" t="s">
        <v>1011</v>
      </c>
      <c r="G485" s="3" t="s">
        <v>1012</v>
      </c>
      <c r="H485" s="2" t="s">
        <v>976</v>
      </c>
      <c r="I485" s="4"/>
      <c r="J485" s="4"/>
      <c r="K485" s="4"/>
      <c r="L485" s="5"/>
      <c r="M485" s="3"/>
    </row>
    <row r="486" spans="1:13" x14ac:dyDescent="0.3">
      <c r="A486" s="2">
        <v>485</v>
      </c>
      <c r="B486" s="2" t="s">
        <v>481</v>
      </c>
      <c r="C486" s="2" t="s">
        <v>972</v>
      </c>
      <c r="D486" s="2">
        <v>338</v>
      </c>
      <c r="E486" s="3" t="s">
        <v>973</v>
      </c>
      <c r="F486" s="3" t="s">
        <v>1013</v>
      </c>
      <c r="G486" s="3" t="s">
        <v>1014</v>
      </c>
      <c r="H486" s="2" t="s">
        <v>976</v>
      </c>
      <c r="I486" s="4"/>
      <c r="J486" s="4"/>
      <c r="K486" s="4"/>
      <c r="L486" s="5"/>
      <c r="M486" s="3"/>
    </row>
    <row r="487" spans="1:13" ht="43.2" x14ac:dyDescent="0.3">
      <c r="A487" s="2">
        <v>486</v>
      </c>
      <c r="B487" s="2" t="s">
        <v>481</v>
      </c>
      <c r="C487" s="2" t="s">
        <v>972</v>
      </c>
      <c r="D487" s="2">
        <v>352</v>
      </c>
      <c r="E487" s="3" t="s">
        <v>973</v>
      </c>
      <c r="F487" s="3" t="s">
        <v>1015</v>
      </c>
      <c r="G487" s="3" t="s">
        <v>1016</v>
      </c>
      <c r="H487" s="2" t="s">
        <v>976</v>
      </c>
      <c r="I487" s="4"/>
      <c r="J487" s="4"/>
      <c r="K487" s="4"/>
      <c r="L487" s="5"/>
      <c r="M487" s="3"/>
    </row>
    <row r="488" spans="1:13" ht="28.8" x14ac:dyDescent="0.3">
      <c r="A488" s="2">
        <v>487</v>
      </c>
      <c r="B488" s="2" t="s">
        <v>481</v>
      </c>
      <c r="C488" s="2" t="s">
        <v>972</v>
      </c>
      <c r="D488" s="2">
        <v>366</v>
      </c>
      <c r="E488" s="3" t="s">
        <v>973</v>
      </c>
      <c r="F488" s="3" t="s">
        <v>1017</v>
      </c>
      <c r="G488" s="3" t="s">
        <v>1018</v>
      </c>
      <c r="H488" s="2" t="s">
        <v>976</v>
      </c>
      <c r="I488" s="4"/>
      <c r="J488" s="4"/>
      <c r="K488" s="4"/>
      <c r="L488" s="5"/>
      <c r="M488" s="3"/>
    </row>
    <row r="489" spans="1:13" ht="28.8" x14ac:dyDescent="0.3">
      <c r="A489" s="2">
        <v>488</v>
      </c>
      <c r="B489" s="2" t="s">
        <v>481</v>
      </c>
      <c r="C489" s="2" t="s">
        <v>972</v>
      </c>
      <c r="D489" s="2">
        <v>378</v>
      </c>
      <c r="E489" s="3" t="s">
        <v>973</v>
      </c>
      <c r="F489" s="3" t="s">
        <v>1019</v>
      </c>
      <c r="G489" s="3" t="s">
        <v>1020</v>
      </c>
      <c r="H489" s="2" t="s">
        <v>976</v>
      </c>
      <c r="I489" s="4"/>
      <c r="J489" s="4"/>
      <c r="K489" s="4"/>
      <c r="L489" s="5"/>
      <c r="M489" s="3"/>
    </row>
    <row r="490" spans="1:13" x14ac:dyDescent="0.3">
      <c r="A490" s="2">
        <v>489</v>
      </c>
      <c r="B490" s="2" t="s">
        <v>481</v>
      </c>
      <c r="C490" s="2" t="s">
        <v>972</v>
      </c>
      <c r="D490" s="2">
        <v>391</v>
      </c>
      <c r="E490" s="3" t="s">
        <v>973</v>
      </c>
      <c r="F490" s="3" t="s">
        <v>1021</v>
      </c>
      <c r="G490" s="3" t="s">
        <v>1022</v>
      </c>
      <c r="H490" s="2" t="s">
        <v>976</v>
      </c>
      <c r="I490" s="4"/>
      <c r="J490" s="4"/>
      <c r="K490" s="4"/>
      <c r="L490" s="5"/>
      <c r="M490" s="3"/>
    </row>
    <row r="491" spans="1:13" ht="28.8" x14ac:dyDescent="0.3">
      <c r="A491" s="2">
        <v>490</v>
      </c>
      <c r="B491" s="2" t="s">
        <v>481</v>
      </c>
      <c r="C491" s="2" t="s">
        <v>972</v>
      </c>
      <c r="D491" s="2">
        <v>406</v>
      </c>
      <c r="E491" s="3" t="s">
        <v>973</v>
      </c>
      <c r="F491" s="3" t="s">
        <v>1023</v>
      </c>
      <c r="G491" s="3" t="s">
        <v>1024</v>
      </c>
      <c r="H491" s="2" t="s">
        <v>976</v>
      </c>
      <c r="I491" s="4"/>
      <c r="J491" s="4"/>
      <c r="K491" s="4"/>
      <c r="L491" s="5"/>
      <c r="M491" s="3"/>
    </row>
    <row r="492" spans="1:13" ht="28.8" x14ac:dyDescent="0.3">
      <c r="A492" s="2">
        <v>491</v>
      </c>
      <c r="B492" s="2" t="s">
        <v>481</v>
      </c>
      <c r="C492" s="2" t="s">
        <v>972</v>
      </c>
      <c r="D492" s="2">
        <v>416</v>
      </c>
      <c r="E492" s="3" t="s">
        <v>973</v>
      </c>
      <c r="F492" s="3" t="s">
        <v>1025</v>
      </c>
      <c r="G492" s="3" t="s">
        <v>1026</v>
      </c>
      <c r="H492" s="2" t="s">
        <v>976</v>
      </c>
      <c r="I492" s="4"/>
      <c r="J492" s="4"/>
      <c r="K492" s="4"/>
      <c r="L492" s="5"/>
      <c r="M492" s="3"/>
    </row>
    <row r="493" spans="1:13" ht="43.2" x14ac:dyDescent="0.3">
      <c r="A493" s="2">
        <v>492</v>
      </c>
      <c r="B493" s="2" t="s">
        <v>481</v>
      </c>
      <c r="C493" s="2" t="s">
        <v>972</v>
      </c>
      <c r="D493" s="2">
        <v>439</v>
      </c>
      <c r="E493" s="3" t="s">
        <v>973</v>
      </c>
      <c r="F493" s="3" t="s">
        <v>1027</v>
      </c>
      <c r="G493" s="3" t="s">
        <v>1028</v>
      </c>
      <c r="H493" s="2" t="s">
        <v>976</v>
      </c>
      <c r="I493" s="4"/>
      <c r="J493" s="4"/>
      <c r="K493" s="4"/>
      <c r="L493" s="5"/>
      <c r="M493" s="3"/>
    </row>
    <row r="494" spans="1:13" ht="28.8" x14ac:dyDescent="0.3">
      <c r="A494" s="2">
        <v>493</v>
      </c>
      <c r="B494" s="2" t="s">
        <v>481</v>
      </c>
      <c r="C494" s="2" t="s">
        <v>972</v>
      </c>
      <c r="D494" s="2">
        <v>458</v>
      </c>
      <c r="E494" s="3" t="s">
        <v>973</v>
      </c>
      <c r="F494" s="3" t="s">
        <v>1029</v>
      </c>
      <c r="G494" s="3" t="s">
        <v>1030</v>
      </c>
      <c r="H494" s="2" t="s">
        <v>976</v>
      </c>
      <c r="I494" s="4"/>
      <c r="J494" s="4"/>
      <c r="K494" s="4"/>
      <c r="L494" s="5"/>
      <c r="M494" s="3"/>
    </row>
    <row r="495" spans="1:13" ht="28.8" x14ac:dyDescent="0.3">
      <c r="A495" s="2">
        <v>494</v>
      </c>
      <c r="B495" s="2" t="s">
        <v>481</v>
      </c>
      <c r="C495" s="2" t="s">
        <v>972</v>
      </c>
      <c r="D495" s="2">
        <v>474</v>
      </c>
      <c r="E495" s="3" t="s">
        <v>973</v>
      </c>
      <c r="F495" s="3" t="s">
        <v>1031</v>
      </c>
      <c r="G495" s="3" t="s">
        <v>1032</v>
      </c>
      <c r="H495" s="2" t="s">
        <v>976</v>
      </c>
      <c r="I495" s="4"/>
      <c r="J495" s="4"/>
      <c r="K495" s="4"/>
      <c r="L495" s="5"/>
      <c r="M495" s="3"/>
    </row>
    <row r="496" spans="1:13" ht="28.8" x14ac:dyDescent="0.3">
      <c r="A496" s="2">
        <v>495</v>
      </c>
      <c r="B496" s="2" t="s">
        <v>481</v>
      </c>
      <c r="C496" s="2" t="s">
        <v>972</v>
      </c>
      <c r="D496" s="2">
        <v>500</v>
      </c>
      <c r="E496" s="3" t="s">
        <v>973</v>
      </c>
      <c r="F496" s="3" t="s">
        <v>1033</v>
      </c>
      <c r="G496" s="3" t="s">
        <v>1034</v>
      </c>
      <c r="H496" s="2"/>
      <c r="I496" s="4"/>
      <c r="J496" s="4"/>
      <c r="K496" s="4"/>
      <c r="L496" s="5"/>
      <c r="M496" s="3"/>
    </row>
    <row r="497" spans="1:13" ht="28.8" x14ac:dyDescent="0.3">
      <c r="A497" s="2">
        <v>496</v>
      </c>
      <c r="B497" s="2" t="s">
        <v>481</v>
      </c>
      <c r="C497" s="2" t="s">
        <v>972</v>
      </c>
      <c r="D497" s="2">
        <v>500</v>
      </c>
      <c r="E497" s="3" t="s">
        <v>973</v>
      </c>
      <c r="F497" s="3" t="s">
        <v>1035</v>
      </c>
      <c r="G497" s="3" t="s">
        <v>1036</v>
      </c>
      <c r="H497" s="2"/>
      <c r="I497" s="4"/>
      <c r="J497" s="4"/>
      <c r="K497" s="4"/>
      <c r="L497" s="5"/>
      <c r="M497" s="3"/>
    </row>
    <row r="498" spans="1:13" ht="43.2" x14ac:dyDescent="0.3">
      <c r="A498" s="2">
        <v>497</v>
      </c>
      <c r="B498" s="2" t="s">
        <v>481</v>
      </c>
      <c r="C498" s="2" t="s">
        <v>972</v>
      </c>
      <c r="D498" s="2">
        <v>500</v>
      </c>
      <c r="E498" s="3" t="s">
        <v>973</v>
      </c>
      <c r="F498" s="3" t="s">
        <v>1037</v>
      </c>
      <c r="G498" s="3" t="s">
        <v>1038</v>
      </c>
      <c r="H498" s="2"/>
      <c r="I498" s="4"/>
      <c r="J498" s="4"/>
      <c r="K498" s="4"/>
      <c r="L498" s="5"/>
      <c r="M498" s="3"/>
    </row>
    <row r="499" spans="1:13" x14ac:dyDescent="0.3">
      <c r="A499" s="2">
        <v>498</v>
      </c>
      <c r="B499" s="2" t="s">
        <v>481</v>
      </c>
      <c r="C499" s="2" t="s">
        <v>972</v>
      </c>
      <c r="D499" s="2">
        <v>500</v>
      </c>
      <c r="E499" s="3" t="s">
        <v>973</v>
      </c>
      <c r="F499" s="3" t="s">
        <v>1039</v>
      </c>
      <c r="G499" s="3" t="s">
        <v>1040</v>
      </c>
      <c r="H499" s="2"/>
      <c r="I499" s="4"/>
      <c r="J499" s="4"/>
      <c r="K499" s="4"/>
      <c r="L499" s="5"/>
      <c r="M499" s="3"/>
    </row>
    <row r="500" spans="1:13" x14ac:dyDescent="0.3">
      <c r="A500" s="2">
        <v>499</v>
      </c>
      <c r="B500" s="2" t="s">
        <v>481</v>
      </c>
      <c r="C500" s="2" t="s">
        <v>972</v>
      </c>
      <c r="D500" s="2">
        <v>500</v>
      </c>
      <c r="E500" s="3" t="s">
        <v>973</v>
      </c>
      <c r="F500" s="3" t="s">
        <v>1041</v>
      </c>
      <c r="G500" s="3" t="s">
        <v>1042</v>
      </c>
      <c r="H500" s="2"/>
      <c r="I500" s="4"/>
      <c r="J500" s="4"/>
      <c r="K500" s="4"/>
      <c r="L500" s="5"/>
      <c r="M500" s="3"/>
    </row>
    <row r="501" spans="1:13" ht="28.8" x14ac:dyDescent="0.3">
      <c r="A501" s="2">
        <v>500</v>
      </c>
      <c r="B501" s="2" t="s">
        <v>481</v>
      </c>
      <c r="C501" s="2" t="s">
        <v>972</v>
      </c>
      <c r="D501" s="2">
        <v>500</v>
      </c>
      <c r="E501" s="3" t="s">
        <v>973</v>
      </c>
      <c r="F501" s="3" t="s">
        <v>1043</v>
      </c>
      <c r="G501" s="3" t="s">
        <v>1044</v>
      </c>
      <c r="H501" s="2"/>
      <c r="I501" s="4"/>
      <c r="J501" s="4"/>
      <c r="K501" s="4"/>
      <c r="L501" s="5"/>
      <c r="M501" s="3"/>
    </row>
    <row r="502" spans="1:13" ht="28.8" x14ac:dyDescent="0.3">
      <c r="A502" s="2">
        <v>501</v>
      </c>
      <c r="B502" s="2" t="s">
        <v>481</v>
      </c>
      <c r="C502" s="2" t="s">
        <v>972</v>
      </c>
      <c r="D502" s="2">
        <v>500</v>
      </c>
      <c r="E502" s="3" t="s">
        <v>973</v>
      </c>
      <c r="F502" s="3" t="s">
        <v>1045</v>
      </c>
      <c r="G502" s="3" t="s">
        <v>1046</v>
      </c>
      <c r="H502" s="2"/>
      <c r="I502" s="4"/>
      <c r="J502" s="4"/>
      <c r="K502" s="4"/>
      <c r="L502" s="5"/>
      <c r="M502" s="3"/>
    </row>
    <row r="503" spans="1:13" x14ac:dyDescent="0.3">
      <c r="A503" s="2">
        <v>502</v>
      </c>
      <c r="B503" s="2" t="s">
        <v>481</v>
      </c>
      <c r="C503" s="2" t="s">
        <v>972</v>
      </c>
      <c r="D503" s="2">
        <v>500</v>
      </c>
      <c r="E503" s="3" t="s">
        <v>973</v>
      </c>
      <c r="F503" s="3" t="s">
        <v>1047</v>
      </c>
      <c r="G503" s="3" t="s">
        <v>1048</v>
      </c>
      <c r="H503" s="2"/>
      <c r="I503" s="4"/>
      <c r="J503" s="4"/>
      <c r="K503" s="4"/>
      <c r="L503" s="5"/>
      <c r="M503" s="3"/>
    </row>
    <row r="504" spans="1:13" x14ac:dyDescent="0.3">
      <c r="A504" s="2">
        <v>503</v>
      </c>
      <c r="B504" s="2" t="s">
        <v>481</v>
      </c>
      <c r="C504" s="2" t="s">
        <v>972</v>
      </c>
      <c r="D504" s="2">
        <v>500</v>
      </c>
      <c r="E504" s="3" t="s">
        <v>973</v>
      </c>
      <c r="F504" s="3" t="s">
        <v>1049</v>
      </c>
      <c r="G504" s="3" t="s">
        <v>1050</v>
      </c>
      <c r="H504" s="2"/>
      <c r="I504" s="4"/>
      <c r="J504" s="4"/>
      <c r="K504" s="4"/>
      <c r="L504" s="5"/>
      <c r="M504" s="3"/>
    </row>
    <row r="505" spans="1:13" ht="28.8" x14ac:dyDescent="0.3">
      <c r="A505" s="2">
        <v>504</v>
      </c>
      <c r="B505" s="2" t="s">
        <v>481</v>
      </c>
      <c r="C505" s="2" t="s">
        <v>972</v>
      </c>
      <c r="D505" s="2">
        <v>500</v>
      </c>
      <c r="E505" s="3" t="s">
        <v>973</v>
      </c>
      <c r="F505" s="3" t="s">
        <v>1051</v>
      </c>
      <c r="G505" s="3" t="s">
        <v>1052</v>
      </c>
      <c r="H505" s="2"/>
      <c r="I505" s="4"/>
      <c r="J505" s="4"/>
      <c r="K505" s="4"/>
      <c r="L505" s="5"/>
      <c r="M505" s="3"/>
    </row>
    <row r="506" spans="1:13" ht="28.8" x14ac:dyDescent="0.3">
      <c r="A506" s="2">
        <v>505</v>
      </c>
      <c r="B506" s="2" t="s">
        <v>481</v>
      </c>
      <c r="C506" s="2" t="s">
        <v>972</v>
      </c>
      <c r="D506" s="2">
        <v>500</v>
      </c>
      <c r="E506" s="3" t="s">
        <v>973</v>
      </c>
      <c r="F506" s="3" t="s">
        <v>1053</v>
      </c>
      <c r="G506" s="3" t="s">
        <v>1054</v>
      </c>
      <c r="H506" s="2"/>
      <c r="I506" s="4"/>
      <c r="J506" s="4"/>
      <c r="K506" s="4"/>
      <c r="L506" s="5"/>
      <c r="M506" s="3"/>
    </row>
    <row r="507" spans="1:13" x14ac:dyDescent="0.3">
      <c r="A507" s="2">
        <v>506</v>
      </c>
      <c r="B507" s="2" t="s">
        <v>1055</v>
      </c>
      <c r="C507" s="2" t="s">
        <v>1056</v>
      </c>
      <c r="D507" s="2">
        <v>39</v>
      </c>
      <c r="E507" s="3" t="s">
        <v>1057</v>
      </c>
      <c r="F507" s="3" t="s">
        <v>16</v>
      </c>
      <c r="G507" s="3" t="s">
        <v>484</v>
      </c>
      <c r="H507" s="2" t="s">
        <v>1058</v>
      </c>
      <c r="I507" s="4"/>
      <c r="J507" s="4"/>
      <c r="K507" s="4"/>
      <c r="L507" s="5"/>
      <c r="M507" s="3"/>
    </row>
    <row r="508" spans="1:13" ht="28.8" x14ac:dyDescent="0.3">
      <c r="A508" s="2">
        <v>507</v>
      </c>
      <c r="B508" s="2" t="s">
        <v>1055</v>
      </c>
      <c r="C508" s="2" t="s">
        <v>1056</v>
      </c>
      <c r="D508" s="2">
        <v>49</v>
      </c>
      <c r="E508" s="3" t="s">
        <v>1057</v>
      </c>
      <c r="F508" s="3" t="s">
        <v>18</v>
      </c>
      <c r="G508" s="3" t="s">
        <v>1059</v>
      </c>
      <c r="H508" s="2" t="s">
        <v>1060</v>
      </c>
      <c r="I508" s="4"/>
      <c r="J508" s="4"/>
      <c r="K508" s="4"/>
      <c r="L508" s="5"/>
      <c r="M508" s="3"/>
    </row>
    <row r="509" spans="1:13" ht="28.8" x14ac:dyDescent="0.3">
      <c r="A509" s="2">
        <v>508</v>
      </c>
      <c r="B509" s="2" t="s">
        <v>1055</v>
      </c>
      <c r="C509" s="2" t="s">
        <v>1056</v>
      </c>
      <c r="D509" s="2">
        <v>54</v>
      </c>
      <c r="E509" s="3" t="s">
        <v>1057</v>
      </c>
      <c r="F509" s="3" t="s">
        <v>20</v>
      </c>
      <c r="G509" s="3" t="s">
        <v>488</v>
      </c>
      <c r="H509" s="2" t="s">
        <v>1060</v>
      </c>
      <c r="I509" s="4"/>
      <c r="J509" s="4"/>
      <c r="K509" s="4"/>
      <c r="L509" s="5"/>
      <c r="M509" s="3"/>
    </row>
    <row r="510" spans="1:13" ht="28.8" x14ac:dyDescent="0.3">
      <c r="A510" s="2">
        <v>509</v>
      </c>
      <c r="B510" s="2" t="s">
        <v>1055</v>
      </c>
      <c r="C510" s="2" t="s">
        <v>1056</v>
      </c>
      <c r="D510" s="2">
        <v>59</v>
      </c>
      <c r="E510" s="3" t="s">
        <v>1057</v>
      </c>
      <c r="F510" s="3" t="s">
        <v>22</v>
      </c>
      <c r="G510" s="3" t="s">
        <v>489</v>
      </c>
      <c r="H510" s="2" t="s">
        <v>1060</v>
      </c>
      <c r="I510" s="4"/>
      <c r="J510" s="4"/>
      <c r="K510" s="4"/>
      <c r="L510" s="5"/>
      <c r="M510" s="3"/>
    </row>
    <row r="511" spans="1:13" ht="28.8" x14ac:dyDescent="0.3">
      <c r="A511" s="2">
        <v>510</v>
      </c>
      <c r="B511" s="2" t="s">
        <v>1055</v>
      </c>
      <c r="C511" s="2" t="s">
        <v>1056</v>
      </c>
      <c r="D511" s="2">
        <v>64</v>
      </c>
      <c r="E511" s="3" t="s">
        <v>1057</v>
      </c>
      <c r="F511" s="3" t="s">
        <v>24</v>
      </c>
      <c r="G511" s="3" t="s">
        <v>490</v>
      </c>
      <c r="H511" s="2" t="s">
        <v>1060</v>
      </c>
      <c r="I511" s="4"/>
      <c r="J511" s="4"/>
      <c r="K511" s="4"/>
      <c r="L511" s="5"/>
      <c r="M511" s="3"/>
    </row>
    <row r="512" spans="1:13" ht="28.8" x14ac:dyDescent="0.3">
      <c r="A512" s="2">
        <v>511</v>
      </c>
      <c r="B512" s="2" t="s">
        <v>1055</v>
      </c>
      <c r="C512" s="2" t="s">
        <v>1056</v>
      </c>
      <c r="D512" s="2">
        <v>70</v>
      </c>
      <c r="E512" s="3" t="s">
        <v>1057</v>
      </c>
      <c r="F512" s="3" t="s">
        <v>26</v>
      </c>
      <c r="G512" s="3" t="s">
        <v>1061</v>
      </c>
      <c r="H512" s="2" t="s">
        <v>1060</v>
      </c>
      <c r="I512" s="4"/>
      <c r="J512" s="4"/>
      <c r="K512" s="4"/>
      <c r="L512" s="5"/>
      <c r="M512" s="3"/>
    </row>
    <row r="513" spans="1:13" ht="28.8" x14ac:dyDescent="0.3">
      <c r="A513" s="2">
        <v>512</v>
      </c>
      <c r="B513" s="2" t="s">
        <v>1055</v>
      </c>
      <c r="C513" s="2" t="s">
        <v>1056</v>
      </c>
      <c r="D513" s="2">
        <v>75</v>
      </c>
      <c r="E513" s="3" t="s">
        <v>1057</v>
      </c>
      <c r="F513" s="3" t="s">
        <v>28</v>
      </c>
      <c r="G513" s="3" t="s">
        <v>1062</v>
      </c>
      <c r="H513" s="2" t="s">
        <v>1060</v>
      </c>
      <c r="I513" s="4"/>
      <c r="J513" s="4"/>
      <c r="K513" s="4"/>
      <c r="L513" s="5"/>
      <c r="M513" s="3"/>
    </row>
    <row r="514" spans="1:13" ht="28.8" x14ac:dyDescent="0.3">
      <c r="A514" s="2">
        <v>513</v>
      </c>
      <c r="B514" s="2" t="s">
        <v>1055</v>
      </c>
      <c r="C514" s="2" t="s">
        <v>1056</v>
      </c>
      <c r="D514" s="2">
        <v>80</v>
      </c>
      <c r="E514" s="3" t="s">
        <v>1057</v>
      </c>
      <c r="F514" s="3" t="s">
        <v>30</v>
      </c>
      <c r="G514" s="3" t="s">
        <v>1063</v>
      </c>
      <c r="H514" s="2" t="s">
        <v>1060</v>
      </c>
      <c r="I514" s="4"/>
      <c r="J514" s="4"/>
      <c r="K514" s="4"/>
      <c r="L514" s="5"/>
      <c r="M514" s="3"/>
    </row>
    <row r="515" spans="1:13" ht="43.2" x14ac:dyDescent="0.3">
      <c r="A515" s="2">
        <v>514</v>
      </c>
      <c r="B515" s="2" t="s">
        <v>1055</v>
      </c>
      <c r="C515" s="2" t="s">
        <v>1056</v>
      </c>
      <c r="D515" s="2">
        <v>85</v>
      </c>
      <c r="E515" s="3" t="s">
        <v>1057</v>
      </c>
      <c r="F515" s="3" t="s">
        <v>32</v>
      </c>
      <c r="G515" s="3" t="s">
        <v>1064</v>
      </c>
      <c r="H515" s="2" t="s">
        <v>1060</v>
      </c>
      <c r="I515" s="4"/>
      <c r="J515" s="4"/>
      <c r="K515" s="4"/>
      <c r="L515" s="5"/>
      <c r="M515" s="3"/>
    </row>
    <row r="516" spans="1:13" ht="28.8" x14ac:dyDescent="0.3">
      <c r="A516" s="2">
        <v>515</v>
      </c>
      <c r="B516" s="2" t="s">
        <v>1055</v>
      </c>
      <c r="C516" s="2" t="s">
        <v>1056</v>
      </c>
      <c r="D516" s="2">
        <v>91</v>
      </c>
      <c r="E516" s="3" t="s">
        <v>1057</v>
      </c>
      <c r="F516" s="3" t="s">
        <v>34</v>
      </c>
      <c r="G516" s="3" t="s">
        <v>1065</v>
      </c>
      <c r="H516" s="2" t="s">
        <v>1060</v>
      </c>
      <c r="I516" s="4"/>
      <c r="J516" s="4"/>
      <c r="K516" s="4"/>
      <c r="L516" s="5"/>
      <c r="M516" s="3"/>
    </row>
    <row r="517" spans="1:13" ht="28.8" x14ac:dyDescent="0.3">
      <c r="A517" s="2">
        <v>516</v>
      </c>
      <c r="B517" s="2" t="s">
        <v>1055</v>
      </c>
      <c r="C517" s="2" t="s">
        <v>1056</v>
      </c>
      <c r="D517" s="2">
        <v>96</v>
      </c>
      <c r="E517" s="3" t="s">
        <v>1057</v>
      </c>
      <c r="F517" s="3" t="s">
        <v>36</v>
      </c>
      <c r="G517" s="3" t="s">
        <v>496</v>
      </c>
      <c r="H517" s="2" t="s">
        <v>1060</v>
      </c>
      <c r="I517" s="4"/>
      <c r="J517" s="4"/>
      <c r="K517" s="4"/>
      <c r="L517" s="5"/>
      <c r="M517" s="3"/>
    </row>
    <row r="518" spans="1:13" ht="28.8" x14ac:dyDescent="0.3">
      <c r="A518" s="2">
        <v>517</v>
      </c>
      <c r="B518" s="2" t="s">
        <v>1055</v>
      </c>
      <c r="C518" s="2" t="s">
        <v>1056</v>
      </c>
      <c r="D518" s="2">
        <v>101</v>
      </c>
      <c r="E518" s="3" t="s">
        <v>1057</v>
      </c>
      <c r="F518" s="3" t="s">
        <v>38</v>
      </c>
      <c r="G518" s="3" t="s">
        <v>1066</v>
      </c>
      <c r="H518" s="2" t="s">
        <v>1060</v>
      </c>
      <c r="I518" s="4"/>
      <c r="J518" s="4"/>
      <c r="K518" s="4"/>
      <c r="L518" s="5"/>
      <c r="M518" s="3"/>
    </row>
    <row r="519" spans="1:13" ht="43.2" x14ac:dyDescent="0.3">
      <c r="A519" s="2">
        <v>518</v>
      </c>
      <c r="B519" s="2" t="s">
        <v>1055</v>
      </c>
      <c r="C519" s="2" t="s">
        <v>1056</v>
      </c>
      <c r="D519" s="2">
        <v>106</v>
      </c>
      <c r="E519" s="3" t="s">
        <v>1057</v>
      </c>
      <c r="F519" s="3" t="s">
        <v>40</v>
      </c>
      <c r="G519" s="3" t="s">
        <v>1067</v>
      </c>
      <c r="H519" s="2" t="s">
        <v>1060</v>
      </c>
      <c r="I519" s="4"/>
      <c r="J519" s="4"/>
      <c r="K519" s="4"/>
      <c r="L519" s="5"/>
      <c r="M519" s="3"/>
    </row>
    <row r="520" spans="1:13" ht="28.8" x14ac:dyDescent="0.3">
      <c r="A520" s="2">
        <v>519</v>
      </c>
      <c r="B520" s="2" t="s">
        <v>1055</v>
      </c>
      <c r="C520" s="2" t="s">
        <v>1056</v>
      </c>
      <c r="D520" s="2">
        <v>112</v>
      </c>
      <c r="E520" s="3" t="s">
        <v>1057</v>
      </c>
      <c r="F520" s="3" t="s">
        <v>42</v>
      </c>
      <c r="G520" s="3" t="s">
        <v>1068</v>
      </c>
      <c r="H520" s="2" t="s">
        <v>1060</v>
      </c>
      <c r="I520" s="4"/>
      <c r="J520" s="4"/>
      <c r="K520" s="4"/>
      <c r="L520" s="5"/>
      <c r="M520" s="3"/>
    </row>
    <row r="521" spans="1:13" ht="28.8" x14ac:dyDescent="0.3">
      <c r="A521" s="2">
        <v>520</v>
      </c>
      <c r="B521" s="2" t="s">
        <v>1055</v>
      </c>
      <c r="C521" s="2" t="s">
        <v>1056</v>
      </c>
      <c r="D521" s="2">
        <v>117</v>
      </c>
      <c r="E521" s="3" t="s">
        <v>1057</v>
      </c>
      <c r="F521" s="3" t="s">
        <v>44</v>
      </c>
      <c r="G521" s="3" t="s">
        <v>1069</v>
      </c>
      <c r="H521" s="2" t="s">
        <v>1060</v>
      </c>
      <c r="I521" s="4"/>
      <c r="J521" s="4"/>
      <c r="K521" s="4"/>
      <c r="L521" s="5"/>
      <c r="M521" s="3"/>
    </row>
    <row r="522" spans="1:13" ht="28.8" x14ac:dyDescent="0.3">
      <c r="A522" s="2">
        <v>521</v>
      </c>
      <c r="B522" s="2" t="s">
        <v>1055</v>
      </c>
      <c r="C522" s="2" t="s">
        <v>1056</v>
      </c>
      <c r="D522" s="2">
        <v>122</v>
      </c>
      <c r="E522" s="3" t="s">
        <v>1057</v>
      </c>
      <c r="F522" s="3" t="s">
        <v>46</v>
      </c>
      <c r="G522" s="3" t="s">
        <v>1070</v>
      </c>
      <c r="H522" s="2" t="s">
        <v>1060</v>
      </c>
      <c r="I522" s="4"/>
      <c r="J522" s="4"/>
      <c r="K522" s="4"/>
      <c r="L522" s="5"/>
      <c r="M522" s="3"/>
    </row>
    <row r="523" spans="1:13" ht="43.2" x14ac:dyDescent="0.3">
      <c r="A523" s="2">
        <v>522</v>
      </c>
      <c r="B523" s="2" t="s">
        <v>1055</v>
      </c>
      <c r="C523" s="2" t="s">
        <v>1056</v>
      </c>
      <c r="D523" s="2">
        <v>127</v>
      </c>
      <c r="E523" s="3" t="s">
        <v>1057</v>
      </c>
      <c r="F523" s="3" t="s">
        <v>48</v>
      </c>
      <c r="G523" s="3" t="s">
        <v>1071</v>
      </c>
      <c r="H523" s="2" t="s">
        <v>1060</v>
      </c>
      <c r="I523" s="4"/>
      <c r="J523" s="4"/>
      <c r="K523" s="4"/>
      <c r="L523" s="5"/>
      <c r="M523" s="3"/>
    </row>
    <row r="524" spans="1:13" ht="43.2" x14ac:dyDescent="0.3">
      <c r="A524" s="2">
        <v>523</v>
      </c>
      <c r="B524" s="2" t="s">
        <v>1055</v>
      </c>
      <c r="C524" s="2" t="s">
        <v>1056</v>
      </c>
      <c r="D524" s="2">
        <v>133</v>
      </c>
      <c r="E524" s="3" t="s">
        <v>1057</v>
      </c>
      <c r="F524" s="3" t="s">
        <v>50</v>
      </c>
      <c r="G524" s="3" t="s">
        <v>1072</v>
      </c>
      <c r="H524" s="2" t="s">
        <v>1060</v>
      </c>
      <c r="I524" s="4"/>
      <c r="J524" s="4"/>
      <c r="K524" s="4"/>
      <c r="L524" s="5"/>
      <c r="M524" s="3"/>
    </row>
    <row r="525" spans="1:13" ht="28.8" x14ac:dyDescent="0.3">
      <c r="A525" s="2">
        <v>524</v>
      </c>
      <c r="B525" s="2" t="s">
        <v>1055</v>
      </c>
      <c r="C525" s="2" t="s">
        <v>1073</v>
      </c>
      <c r="D525" s="2">
        <v>44</v>
      </c>
      <c r="E525" s="3" t="s">
        <v>1074</v>
      </c>
      <c r="F525" s="3" t="s">
        <v>16</v>
      </c>
      <c r="G525" s="3" t="s">
        <v>1075</v>
      </c>
      <c r="H525" s="2" t="s">
        <v>1076</v>
      </c>
      <c r="I525" s="4"/>
      <c r="J525" s="4"/>
      <c r="K525" s="4"/>
      <c r="L525" s="5"/>
      <c r="M525" s="3"/>
    </row>
    <row r="526" spans="1:13" x14ac:dyDescent="0.3">
      <c r="A526" s="2">
        <v>525</v>
      </c>
      <c r="B526" s="2" t="s">
        <v>1055</v>
      </c>
      <c r="C526" s="2" t="s">
        <v>1073</v>
      </c>
      <c r="D526" s="2">
        <v>68</v>
      </c>
      <c r="E526" s="3" t="s">
        <v>1074</v>
      </c>
      <c r="F526" s="3" t="s">
        <v>18</v>
      </c>
      <c r="G526" s="3" t="s">
        <v>1077</v>
      </c>
      <c r="H526" s="2" t="s">
        <v>1076</v>
      </c>
      <c r="I526" s="4"/>
      <c r="J526" s="4"/>
      <c r="K526" s="4"/>
      <c r="L526" s="5"/>
      <c r="M526" s="3"/>
    </row>
    <row r="527" spans="1:13" x14ac:dyDescent="0.3">
      <c r="A527" s="2">
        <v>526</v>
      </c>
      <c r="B527" s="2" t="s">
        <v>1055</v>
      </c>
      <c r="C527" s="2" t="s">
        <v>1073</v>
      </c>
      <c r="D527" s="2">
        <v>75</v>
      </c>
      <c r="E527" s="3" t="s">
        <v>1074</v>
      </c>
      <c r="F527" s="3" t="s">
        <v>20</v>
      </c>
      <c r="G527" s="3" t="s">
        <v>1078</v>
      </c>
      <c r="H527" s="2" t="s">
        <v>1076</v>
      </c>
      <c r="I527" s="4"/>
      <c r="J527" s="4"/>
      <c r="K527" s="4"/>
      <c r="L527" s="5"/>
      <c r="M527" s="3"/>
    </row>
    <row r="528" spans="1:13" x14ac:dyDescent="0.3">
      <c r="A528" s="2">
        <v>527</v>
      </c>
      <c r="B528" s="2" t="s">
        <v>1055</v>
      </c>
      <c r="C528" s="2" t="s">
        <v>1073</v>
      </c>
      <c r="D528" s="2">
        <v>84</v>
      </c>
      <c r="E528" s="3" t="s">
        <v>1074</v>
      </c>
      <c r="F528" s="3" t="s">
        <v>22</v>
      </c>
      <c r="G528" s="3" t="s">
        <v>1079</v>
      </c>
      <c r="H528" s="2" t="s">
        <v>1076</v>
      </c>
      <c r="I528" s="4"/>
      <c r="J528" s="4"/>
      <c r="K528" s="4"/>
      <c r="L528" s="5"/>
      <c r="M528" s="3"/>
    </row>
    <row r="529" spans="1:13" ht="28.8" x14ac:dyDescent="0.3">
      <c r="A529" s="2">
        <v>528</v>
      </c>
      <c r="B529" s="2" t="s">
        <v>1055</v>
      </c>
      <c r="C529" s="2" t="s">
        <v>1073</v>
      </c>
      <c r="D529" s="2">
        <v>95</v>
      </c>
      <c r="E529" s="3" t="s">
        <v>1074</v>
      </c>
      <c r="F529" s="3" t="s">
        <v>24</v>
      </c>
      <c r="G529" s="3" t="s">
        <v>1080</v>
      </c>
      <c r="H529" s="2" t="s">
        <v>1076</v>
      </c>
      <c r="I529" s="4"/>
      <c r="J529" s="4"/>
      <c r="K529" s="4"/>
      <c r="L529" s="5"/>
      <c r="M529" s="3"/>
    </row>
    <row r="530" spans="1:13" ht="28.8" x14ac:dyDescent="0.3">
      <c r="A530" s="2">
        <v>529</v>
      </c>
      <c r="B530" s="2" t="s">
        <v>1055</v>
      </c>
      <c r="C530" s="2" t="s">
        <v>1073</v>
      </c>
      <c r="D530" s="2">
        <v>109</v>
      </c>
      <c r="E530" s="3" t="s">
        <v>1074</v>
      </c>
      <c r="F530" s="3" t="s">
        <v>26</v>
      </c>
      <c r="G530" s="3" t="s">
        <v>1081</v>
      </c>
      <c r="H530" s="2" t="s">
        <v>1076</v>
      </c>
      <c r="I530" s="4"/>
      <c r="J530" s="4"/>
      <c r="K530" s="4"/>
      <c r="L530" s="5"/>
      <c r="M530" s="3"/>
    </row>
    <row r="531" spans="1:13" x14ac:dyDescent="0.3">
      <c r="A531" s="2">
        <v>530</v>
      </c>
      <c r="B531" s="2" t="s">
        <v>1055</v>
      </c>
      <c r="C531" s="2" t="s">
        <v>1073</v>
      </c>
      <c r="D531" s="2">
        <v>118</v>
      </c>
      <c r="E531" s="3" t="s">
        <v>1074</v>
      </c>
      <c r="F531" s="3" t="s">
        <v>28</v>
      </c>
      <c r="G531" s="3" t="s">
        <v>1082</v>
      </c>
      <c r="H531" s="2" t="s">
        <v>1076</v>
      </c>
      <c r="I531" s="4"/>
      <c r="J531" s="4"/>
      <c r="K531" s="4"/>
      <c r="L531" s="5"/>
      <c r="M531" s="3"/>
    </row>
    <row r="532" spans="1:13" ht="28.8" x14ac:dyDescent="0.3">
      <c r="A532" s="2">
        <v>531</v>
      </c>
      <c r="B532" s="2" t="s">
        <v>1055</v>
      </c>
      <c r="C532" s="2" t="s">
        <v>1073</v>
      </c>
      <c r="D532" s="2">
        <v>130</v>
      </c>
      <c r="E532" s="3" t="s">
        <v>1074</v>
      </c>
      <c r="F532" s="3" t="s">
        <v>30</v>
      </c>
      <c r="G532" s="3" t="s">
        <v>1083</v>
      </c>
      <c r="H532" s="2" t="s">
        <v>1076</v>
      </c>
      <c r="I532" s="4"/>
      <c r="J532" s="4"/>
      <c r="K532" s="4"/>
      <c r="L532" s="5"/>
      <c r="M532" s="3"/>
    </row>
    <row r="533" spans="1:13" ht="28.8" x14ac:dyDescent="0.3">
      <c r="A533" s="2">
        <v>532</v>
      </c>
      <c r="B533" s="2" t="s">
        <v>1055</v>
      </c>
      <c r="C533" s="2" t="s">
        <v>1073</v>
      </c>
      <c r="D533" s="2">
        <v>138</v>
      </c>
      <c r="E533" s="3" t="s">
        <v>1074</v>
      </c>
      <c r="F533" s="3" t="s">
        <v>32</v>
      </c>
      <c r="G533" s="3" t="s">
        <v>1084</v>
      </c>
      <c r="H533" s="2" t="s">
        <v>1076</v>
      </c>
      <c r="I533" s="4"/>
      <c r="J533" s="4"/>
      <c r="K533" s="4"/>
      <c r="L533" s="5"/>
      <c r="M533" s="3"/>
    </row>
    <row r="534" spans="1:13" x14ac:dyDescent="0.3">
      <c r="A534" s="2">
        <v>533</v>
      </c>
      <c r="B534" s="2" t="s">
        <v>1055</v>
      </c>
      <c r="C534" s="2" t="s">
        <v>1073</v>
      </c>
      <c r="D534" s="2">
        <v>158</v>
      </c>
      <c r="E534" s="3" t="s">
        <v>1074</v>
      </c>
      <c r="F534" s="3" t="s">
        <v>34</v>
      </c>
      <c r="G534" s="3" t="s">
        <v>1085</v>
      </c>
      <c r="H534" s="2" t="s">
        <v>1076</v>
      </c>
      <c r="I534" s="4"/>
      <c r="J534" s="4"/>
      <c r="K534" s="4"/>
      <c r="L534" s="5"/>
      <c r="M534" s="3"/>
    </row>
    <row r="535" spans="1:13" x14ac:dyDescent="0.3">
      <c r="A535" s="2">
        <v>534</v>
      </c>
      <c r="B535" s="2" t="s">
        <v>1055</v>
      </c>
      <c r="C535" s="2" t="s">
        <v>1073</v>
      </c>
      <c r="D535" s="2">
        <v>174</v>
      </c>
      <c r="E535" s="3" t="s">
        <v>1074</v>
      </c>
      <c r="F535" s="3" t="s">
        <v>36</v>
      </c>
      <c r="G535" s="3" t="s">
        <v>1086</v>
      </c>
      <c r="H535" s="2" t="s">
        <v>1087</v>
      </c>
      <c r="I535" s="4"/>
      <c r="J535" s="4"/>
      <c r="K535" s="4"/>
      <c r="L535" s="5"/>
      <c r="M535" s="3"/>
    </row>
    <row r="536" spans="1:13" x14ac:dyDescent="0.3">
      <c r="A536" s="2">
        <v>535</v>
      </c>
      <c r="B536" s="2" t="s">
        <v>1055</v>
      </c>
      <c r="C536" s="2" t="s">
        <v>1073</v>
      </c>
      <c r="D536" s="2">
        <v>182</v>
      </c>
      <c r="E536" s="3" t="s">
        <v>1074</v>
      </c>
      <c r="F536" s="3" t="s">
        <v>38</v>
      </c>
      <c r="G536" s="3" t="s">
        <v>1088</v>
      </c>
      <c r="H536" s="2" t="s">
        <v>1087</v>
      </c>
      <c r="I536" s="4"/>
      <c r="J536" s="4"/>
      <c r="K536" s="4"/>
      <c r="L536" s="5"/>
      <c r="M536" s="3"/>
    </row>
    <row r="537" spans="1:13" x14ac:dyDescent="0.3">
      <c r="A537" s="2">
        <v>536</v>
      </c>
      <c r="B537" s="2" t="s">
        <v>1055</v>
      </c>
      <c r="C537" s="2" t="s">
        <v>1073</v>
      </c>
      <c r="D537" s="2">
        <v>205</v>
      </c>
      <c r="E537" s="3" t="s">
        <v>1074</v>
      </c>
      <c r="F537" s="3" t="s">
        <v>40</v>
      </c>
      <c r="G537" s="3" t="s">
        <v>1089</v>
      </c>
      <c r="H537" s="2" t="s">
        <v>1090</v>
      </c>
      <c r="I537" s="4"/>
      <c r="J537" s="4"/>
      <c r="K537" s="4"/>
      <c r="L537" s="5"/>
      <c r="M537" s="3"/>
    </row>
    <row r="538" spans="1:13" x14ac:dyDescent="0.3">
      <c r="A538" s="2">
        <v>537</v>
      </c>
      <c r="B538" s="2" t="s">
        <v>1055</v>
      </c>
      <c r="C538" s="2" t="s">
        <v>1073</v>
      </c>
      <c r="D538" s="2">
        <v>211</v>
      </c>
      <c r="E538" s="3" t="s">
        <v>1074</v>
      </c>
      <c r="F538" s="3" t="s">
        <v>42</v>
      </c>
      <c r="G538" s="3" t="s">
        <v>1091</v>
      </c>
      <c r="H538" s="2" t="s">
        <v>1090</v>
      </c>
      <c r="I538" s="4"/>
      <c r="J538" s="4"/>
      <c r="K538" s="4"/>
      <c r="L538" s="5"/>
      <c r="M538" s="3"/>
    </row>
    <row r="539" spans="1:13" x14ac:dyDescent="0.3">
      <c r="A539" s="2">
        <v>538</v>
      </c>
      <c r="B539" s="2" t="s">
        <v>1055</v>
      </c>
      <c r="C539" s="2" t="s">
        <v>1073</v>
      </c>
      <c r="D539" s="2">
        <v>217</v>
      </c>
      <c r="E539" s="3" t="s">
        <v>1074</v>
      </c>
      <c r="F539" s="3" t="s">
        <v>44</v>
      </c>
      <c r="G539" s="3" t="s">
        <v>1092</v>
      </c>
      <c r="H539" s="2" t="s">
        <v>1090</v>
      </c>
      <c r="I539" s="4"/>
      <c r="J539" s="4"/>
      <c r="K539" s="4"/>
      <c r="L539" s="5"/>
      <c r="M539" s="3"/>
    </row>
    <row r="540" spans="1:13" ht="28.8" x14ac:dyDescent="0.3">
      <c r="A540" s="2">
        <v>539</v>
      </c>
      <c r="B540" s="2" t="s">
        <v>1055</v>
      </c>
      <c r="C540" s="2" t="s">
        <v>1073</v>
      </c>
      <c r="D540" s="2">
        <v>223</v>
      </c>
      <c r="E540" s="3" t="s">
        <v>1074</v>
      </c>
      <c r="F540" s="3" t="s">
        <v>46</v>
      </c>
      <c r="G540" s="3" t="s">
        <v>1093</v>
      </c>
      <c r="H540" s="2" t="s">
        <v>1090</v>
      </c>
      <c r="I540" s="4"/>
      <c r="J540" s="4"/>
      <c r="K540" s="4"/>
      <c r="L540" s="5"/>
      <c r="M540" s="3"/>
    </row>
    <row r="541" spans="1:13" ht="28.8" x14ac:dyDescent="0.3">
      <c r="A541" s="2">
        <v>540</v>
      </c>
      <c r="B541" s="2" t="s">
        <v>1055</v>
      </c>
      <c r="C541" s="2" t="s">
        <v>1073</v>
      </c>
      <c r="D541" s="2">
        <v>231</v>
      </c>
      <c r="E541" s="3" t="s">
        <v>1074</v>
      </c>
      <c r="F541" s="3" t="s">
        <v>48</v>
      </c>
      <c r="G541" s="3" t="s">
        <v>1094</v>
      </c>
      <c r="H541" s="2" t="s">
        <v>1090</v>
      </c>
      <c r="I541" s="4"/>
      <c r="J541" s="4"/>
      <c r="K541" s="4"/>
      <c r="L541" s="5"/>
      <c r="M541" s="3"/>
    </row>
    <row r="542" spans="1:13" ht="28.8" x14ac:dyDescent="0.3">
      <c r="A542" s="2">
        <v>541</v>
      </c>
      <c r="B542" s="2" t="s">
        <v>1055</v>
      </c>
      <c r="C542" s="2" t="s">
        <v>1073</v>
      </c>
      <c r="D542" s="2">
        <v>245</v>
      </c>
      <c r="E542" s="3" t="s">
        <v>1074</v>
      </c>
      <c r="F542" s="3" t="s">
        <v>50</v>
      </c>
      <c r="G542" s="3" t="s">
        <v>1095</v>
      </c>
      <c r="H542" s="2" t="s">
        <v>1090</v>
      </c>
      <c r="I542" s="4"/>
      <c r="J542" s="4"/>
      <c r="K542" s="4"/>
      <c r="L542" s="5"/>
      <c r="M542" s="3"/>
    </row>
    <row r="543" spans="1:13" ht="28.8" x14ac:dyDescent="0.3">
      <c r="A543" s="2">
        <v>542</v>
      </c>
      <c r="B543" s="2" t="s">
        <v>1055</v>
      </c>
      <c r="C543" s="2" t="s">
        <v>1073</v>
      </c>
      <c r="D543" s="2">
        <v>259</v>
      </c>
      <c r="E543" s="3" t="s">
        <v>1074</v>
      </c>
      <c r="F543" s="3" t="s">
        <v>52</v>
      </c>
      <c r="G543" s="3" t="s">
        <v>1096</v>
      </c>
      <c r="H543" s="2" t="s">
        <v>1090</v>
      </c>
      <c r="I543" s="4"/>
      <c r="J543" s="4"/>
      <c r="K543" s="4"/>
      <c r="L543" s="5"/>
      <c r="M543" s="3"/>
    </row>
    <row r="544" spans="1:13" x14ac:dyDescent="0.3">
      <c r="A544" s="2">
        <v>543</v>
      </c>
      <c r="B544" s="2" t="s">
        <v>1055</v>
      </c>
      <c r="C544" s="2" t="s">
        <v>1073</v>
      </c>
      <c r="D544" s="2">
        <v>275</v>
      </c>
      <c r="E544" s="3" t="s">
        <v>1074</v>
      </c>
      <c r="F544" s="3" t="s">
        <v>54</v>
      </c>
      <c r="G544" s="3" t="s">
        <v>1097</v>
      </c>
      <c r="H544" s="2" t="s">
        <v>1098</v>
      </c>
      <c r="I544" s="4"/>
      <c r="J544" s="4"/>
      <c r="K544" s="4"/>
      <c r="L544" s="5"/>
      <c r="M544" s="3"/>
    </row>
    <row r="545" spans="1:13" ht="28.8" x14ac:dyDescent="0.3">
      <c r="A545" s="2">
        <v>544</v>
      </c>
      <c r="B545" s="2" t="s">
        <v>1055</v>
      </c>
      <c r="C545" s="2" t="s">
        <v>1073</v>
      </c>
      <c r="D545" s="2">
        <v>291</v>
      </c>
      <c r="E545" s="3" t="s">
        <v>1074</v>
      </c>
      <c r="F545" s="3" t="s">
        <v>56</v>
      </c>
      <c r="G545" s="3" t="s">
        <v>1099</v>
      </c>
      <c r="H545" s="2" t="s">
        <v>1090</v>
      </c>
      <c r="I545" s="4"/>
      <c r="J545" s="4"/>
      <c r="K545" s="4"/>
      <c r="L545" s="5"/>
      <c r="M545" s="3"/>
    </row>
    <row r="546" spans="1:13" ht="28.8" x14ac:dyDescent="0.3">
      <c r="A546" s="2">
        <v>545</v>
      </c>
      <c r="B546" s="2" t="s">
        <v>1055</v>
      </c>
      <c r="C546" s="2" t="s">
        <v>1073</v>
      </c>
      <c r="D546" s="2">
        <v>311</v>
      </c>
      <c r="E546" s="3" t="s">
        <v>1074</v>
      </c>
      <c r="F546" s="3" t="s">
        <v>58</v>
      </c>
      <c r="G546" s="3" t="s">
        <v>1100</v>
      </c>
      <c r="H546" s="2" t="s">
        <v>1090</v>
      </c>
      <c r="I546" s="4"/>
      <c r="J546" s="4"/>
      <c r="K546" s="4"/>
      <c r="L546" s="5"/>
      <c r="M546" s="3"/>
    </row>
    <row r="547" spans="1:13" ht="28.8" x14ac:dyDescent="0.3">
      <c r="A547" s="2">
        <v>546</v>
      </c>
      <c r="B547" s="2" t="s">
        <v>1055</v>
      </c>
      <c r="C547" s="2" t="s">
        <v>1073</v>
      </c>
      <c r="D547" s="2">
        <v>327</v>
      </c>
      <c r="E547" s="3" t="s">
        <v>1074</v>
      </c>
      <c r="F547" s="3" t="s">
        <v>60</v>
      </c>
      <c r="G547" s="3" t="s">
        <v>1101</v>
      </c>
      <c r="H547" s="2" t="s">
        <v>1102</v>
      </c>
      <c r="I547" s="4"/>
      <c r="J547" s="4"/>
      <c r="K547" s="4"/>
      <c r="L547" s="5"/>
      <c r="M547" s="3"/>
    </row>
    <row r="548" spans="1:13" x14ac:dyDescent="0.3">
      <c r="A548" s="2">
        <v>547</v>
      </c>
      <c r="B548" s="2" t="s">
        <v>1055</v>
      </c>
      <c r="C548" s="2" t="s">
        <v>1073</v>
      </c>
      <c r="D548" s="2">
        <v>348</v>
      </c>
      <c r="E548" s="3" t="s">
        <v>1074</v>
      </c>
      <c r="F548" s="3" t="s">
        <v>62</v>
      </c>
      <c r="G548" s="3" t="s">
        <v>1103</v>
      </c>
      <c r="H548" s="2" t="s">
        <v>1102</v>
      </c>
      <c r="I548" s="4"/>
      <c r="J548" s="4"/>
      <c r="K548" s="4"/>
      <c r="L548" s="5"/>
      <c r="M548" s="3"/>
    </row>
    <row r="549" spans="1:13" x14ac:dyDescent="0.3">
      <c r="A549" s="2">
        <v>548</v>
      </c>
      <c r="B549" s="2" t="s">
        <v>1055</v>
      </c>
      <c r="C549" s="2" t="s">
        <v>1073</v>
      </c>
      <c r="D549" s="2">
        <v>362</v>
      </c>
      <c r="E549" s="3" t="s">
        <v>1074</v>
      </c>
      <c r="F549" s="3" t="s">
        <v>64</v>
      </c>
      <c r="G549" s="3" t="s">
        <v>1104</v>
      </c>
      <c r="H549" s="2" t="s">
        <v>1102</v>
      </c>
      <c r="I549" s="4"/>
      <c r="J549" s="4"/>
      <c r="K549" s="4"/>
      <c r="L549" s="5"/>
      <c r="M549" s="3"/>
    </row>
    <row r="550" spans="1:13" x14ac:dyDescent="0.3">
      <c r="A550" s="2">
        <v>549</v>
      </c>
      <c r="B550" s="2" t="s">
        <v>1055</v>
      </c>
      <c r="C550" s="2" t="s">
        <v>1073</v>
      </c>
      <c r="D550" s="2">
        <v>362</v>
      </c>
      <c r="E550" s="3" t="s">
        <v>1074</v>
      </c>
      <c r="F550" s="3" t="s">
        <v>66</v>
      </c>
      <c r="G550" s="3" t="s">
        <v>1105</v>
      </c>
      <c r="H550" s="2" t="s">
        <v>1102</v>
      </c>
      <c r="I550" s="4"/>
      <c r="J550" s="4"/>
      <c r="K550" s="4"/>
      <c r="L550" s="5"/>
      <c r="M550" s="3"/>
    </row>
    <row r="551" spans="1:13" x14ac:dyDescent="0.3">
      <c r="A551" s="2">
        <v>550</v>
      </c>
      <c r="B551" s="2" t="s">
        <v>1055</v>
      </c>
      <c r="C551" s="2" t="s">
        <v>1073</v>
      </c>
      <c r="D551" s="2">
        <v>373</v>
      </c>
      <c r="E551" s="3" t="s">
        <v>1074</v>
      </c>
      <c r="F551" s="3" t="s">
        <v>1106</v>
      </c>
      <c r="G551" s="3" t="s">
        <v>1107</v>
      </c>
      <c r="H551" s="2" t="s">
        <v>1102</v>
      </c>
      <c r="I551" s="4"/>
      <c r="J551" s="4"/>
      <c r="K551" s="4"/>
      <c r="L551" s="5"/>
      <c r="M551" s="3"/>
    </row>
    <row r="552" spans="1:13" ht="28.8" x14ac:dyDescent="0.3">
      <c r="A552" s="2">
        <v>551</v>
      </c>
      <c r="B552" s="2" t="s">
        <v>1055</v>
      </c>
      <c r="C552" s="2" t="s">
        <v>1073</v>
      </c>
      <c r="D552" s="2">
        <v>383</v>
      </c>
      <c r="E552" s="3" t="s">
        <v>1074</v>
      </c>
      <c r="F552" s="3" t="s">
        <v>1108</v>
      </c>
      <c r="G552" s="3" t="s">
        <v>1109</v>
      </c>
      <c r="H552" s="2" t="s">
        <v>1102</v>
      </c>
      <c r="I552" s="4"/>
      <c r="J552" s="4"/>
      <c r="K552" s="4"/>
      <c r="L552" s="5"/>
      <c r="M552" s="3"/>
    </row>
    <row r="553" spans="1:13" ht="28.8" x14ac:dyDescent="0.3">
      <c r="A553" s="2">
        <v>552</v>
      </c>
      <c r="B553" s="2" t="s">
        <v>1055</v>
      </c>
      <c r="C553" s="2" t="s">
        <v>1073</v>
      </c>
      <c r="D553" s="2">
        <v>400</v>
      </c>
      <c r="E553" s="3" t="s">
        <v>1074</v>
      </c>
      <c r="F553" s="3" t="s">
        <v>1110</v>
      </c>
      <c r="G553" s="3" t="s">
        <v>1111</v>
      </c>
      <c r="H553" s="2" t="s">
        <v>1102</v>
      </c>
      <c r="I553" s="4"/>
      <c r="J553" s="4"/>
      <c r="K553" s="4"/>
      <c r="L553" s="5"/>
      <c r="M553" s="3"/>
    </row>
    <row r="554" spans="1:13" x14ac:dyDescent="0.3">
      <c r="A554" s="2">
        <v>553</v>
      </c>
      <c r="B554" s="2" t="s">
        <v>1055</v>
      </c>
      <c r="C554" s="2" t="s">
        <v>1073</v>
      </c>
      <c r="D554" s="2">
        <v>476</v>
      </c>
      <c r="E554" s="3" t="s">
        <v>1112</v>
      </c>
      <c r="F554" s="3" t="s">
        <v>1113</v>
      </c>
      <c r="G554" s="3" t="s">
        <v>1114</v>
      </c>
      <c r="H554" s="2" t="s">
        <v>1115</v>
      </c>
      <c r="I554" s="4"/>
      <c r="J554" s="4"/>
      <c r="K554" s="4"/>
      <c r="L554" s="5"/>
      <c r="M554" s="3"/>
    </row>
    <row r="555" spans="1:13" x14ac:dyDescent="0.3">
      <c r="A555" s="2">
        <v>554</v>
      </c>
      <c r="B555" s="2" t="s">
        <v>1055</v>
      </c>
      <c r="C555" s="2" t="s">
        <v>1073</v>
      </c>
      <c r="D555" s="2">
        <v>499</v>
      </c>
      <c r="E555" s="3" t="s">
        <v>1112</v>
      </c>
      <c r="F555" s="3" t="s">
        <v>1116</v>
      </c>
      <c r="G555" s="3" t="s">
        <v>1117</v>
      </c>
      <c r="H555" s="2" t="s">
        <v>1115</v>
      </c>
      <c r="I555" s="4"/>
      <c r="J555" s="4"/>
      <c r="K555" s="4"/>
      <c r="L555" s="5"/>
      <c r="M555" s="3"/>
    </row>
    <row r="556" spans="1:13" x14ac:dyDescent="0.3">
      <c r="A556" s="2">
        <v>555</v>
      </c>
      <c r="B556" s="2" t="s">
        <v>1055</v>
      </c>
      <c r="C556" s="2" t="s">
        <v>1073</v>
      </c>
      <c r="D556" s="2">
        <v>512</v>
      </c>
      <c r="E556" s="3" t="s">
        <v>1112</v>
      </c>
      <c r="F556" s="3" t="s">
        <v>1118</v>
      </c>
      <c r="G556" s="3" t="s">
        <v>1119</v>
      </c>
      <c r="H556" s="2" t="s">
        <v>1115</v>
      </c>
      <c r="I556" s="4"/>
      <c r="J556" s="4"/>
      <c r="K556" s="4"/>
      <c r="L556" s="5"/>
      <c r="M556" s="3"/>
    </row>
    <row r="557" spans="1:13" x14ac:dyDescent="0.3">
      <c r="A557" s="2">
        <v>556</v>
      </c>
      <c r="B557" s="2" t="s">
        <v>1055</v>
      </c>
      <c r="C557" s="2" t="s">
        <v>1073</v>
      </c>
      <c r="D557" s="2">
        <v>528</v>
      </c>
      <c r="E557" s="3" t="s">
        <v>1112</v>
      </c>
      <c r="F557" s="3" t="s">
        <v>1120</v>
      </c>
      <c r="G557" s="3" t="s">
        <v>1121</v>
      </c>
      <c r="H557" s="2" t="s">
        <v>1115</v>
      </c>
      <c r="I557" s="4"/>
      <c r="J557" s="4"/>
      <c r="K557" s="4"/>
      <c r="L557" s="5"/>
      <c r="M557" s="3"/>
    </row>
    <row r="558" spans="1:13" ht="28.8" x14ac:dyDescent="0.3">
      <c r="A558" s="2">
        <v>557</v>
      </c>
      <c r="B558" s="2" t="s">
        <v>1055</v>
      </c>
      <c r="C558" s="2" t="s">
        <v>1073</v>
      </c>
      <c r="D558" s="2">
        <v>544</v>
      </c>
      <c r="E558" s="3" t="s">
        <v>1112</v>
      </c>
      <c r="F558" s="3" t="s">
        <v>1122</v>
      </c>
      <c r="G558" s="3" t="s">
        <v>1123</v>
      </c>
      <c r="H558" s="2" t="s">
        <v>1115</v>
      </c>
      <c r="I558" s="4"/>
      <c r="J558" s="4"/>
      <c r="K558" s="4"/>
      <c r="L558" s="5"/>
      <c r="M558" s="3"/>
    </row>
    <row r="559" spans="1:13" ht="28.8" x14ac:dyDescent="0.3">
      <c r="A559" s="2">
        <v>558</v>
      </c>
      <c r="B559" s="2" t="s">
        <v>1055</v>
      </c>
      <c r="C559" s="2" t="s">
        <v>1073</v>
      </c>
      <c r="D559" s="2">
        <v>568</v>
      </c>
      <c r="E559" s="3" t="s">
        <v>1112</v>
      </c>
      <c r="F559" s="3" t="s">
        <v>1124</v>
      </c>
      <c r="G559" s="3" t="s">
        <v>1125</v>
      </c>
      <c r="H559" s="2" t="s">
        <v>1115</v>
      </c>
      <c r="I559" s="4"/>
      <c r="J559" s="4"/>
      <c r="K559" s="4"/>
      <c r="L559" s="5"/>
      <c r="M559" s="3"/>
    </row>
    <row r="560" spans="1:13" x14ac:dyDescent="0.3">
      <c r="A560" s="2">
        <v>559</v>
      </c>
      <c r="B560" s="2" t="s">
        <v>1055</v>
      </c>
      <c r="C560" s="2" t="s">
        <v>1073</v>
      </c>
      <c r="D560" s="2">
        <v>576</v>
      </c>
      <c r="E560" s="3" t="s">
        <v>1112</v>
      </c>
      <c r="F560" s="3" t="s">
        <v>1126</v>
      </c>
      <c r="G560" s="3" t="s">
        <v>1127</v>
      </c>
      <c r="H560" s="2" t="s">
        <v>1115</v>
      </c>
      <c r="I560" s="4"/>
      <c r="J560" s="4"/>
      <c r="K560" s="4"/>
      <c r="L560" s="5"/>
      <c r="M560" s="3"/>
    </row>
    <row r="561" spans="1:13" x14ac:dyDescent="0.3">
      <c r="A561" s="2">
        <v>560</v>
      </c>
      <c r="B561" s="2" t="s">
        <v>1055</v>
      </c>
      <c r="C561" s="2" t="s">
        <v>1073</v>
      </c>
      <c r="D561" s="2">
        <v>588</v>
      </c>
      <c r="E561" s="3" t="s">
        <v>1112</v>
      </c>
      <c r="F561" s="3" t="s">
        <v>1128</v>
      </c>
      <c r="G561" s="3" t="s">
        <v>1129</v>
      </c>
      <c r="H561" s="2" t="s">
        <v>1115</v>
      </c>
      <c r="I561" s="4"/>
      <c r="J561" s="4"/>
      <c r="K561" s="4"/>
      <c r="L561" s="5"/>
      <c r="M561" s="3"/>
    </row>
    <row r="562" spans="1:13" x14ac:dyDescent="0.3">
      <c r="A562" s="2">
        <v>561</v>
      </c>
      <c r="B562" s="2" t="s">
        <v>1055</v>
      </c>
      <c r="C562" s="2" t="s">
        <v>1073</v>
      </c>
      <c r="D562" s="2">
        <v>599</v>
      </c>
      <c r="E562" s="3" t="s">
        <v>1112</v>
      </c>
      <c r="F562" s="3" t="s">
        <v>1130</v>
      </c>
      <c r="G562" s="3" t="s">
        <v>1131</v>
      </c>
      <c r="H562" s="2" t="s">
        <v>1115</v>
      </c>
      <c r="I562" s="4"/>
      <c r="J562" s="4"/>
      <c r="K562" s="4"/>
      <c r="L562" s="5"/>
      <c r="M562" s="3"/>
    </row>
    <row r="563" spans="1:13" x14ac:dyDescent="0.3">
      <c r="A563" s="2">
        <v>562</v>
      </c>
      <c r="B563" s="2" t="s">
        <v>1055</v>
      </c>
      <c r="C563" s="2" t="s">
        <v>1073</v>
      </c>
      <c r="D563" s="2">
        <v>608</v>
      </c>
      <c r="E563" s="3" t="s">
        <v>1112</v>
      </c>
      <c r="F563" s="3" t="s">
        <v>1132</v>
      </c>
      <c r="G563" s="3" t="s">
        <v>1133</v>
      </c>
      <c r="H563" s="2" t="s">
        <v>1115</v>
      </c>
      <c r="I563" s="4"/>
      <c r="J563" s="4"/>
      <c r="K563" s="4"/>
      <c r="L563" s="5"/>
      <c r="M563" s="3"/>
    </row>
    <row r="564" spans="1:13" x14ac:dyDescent="0.3">
      <c r="A564" s="2">
        <v>563</v>
      </c>
      <c r="B564" s="2" t="s">
        <v>1055</v>
      </c>
      <c r="C564" s="2" t="s">
        <v>1073</v>
      </c>
      <c r="D564" s="2">
        <v>618</v>
      </c>
      <c r="E564" s="3" t="s">
        <v>1112</v>
      </c>
      <c r="F564" s="3" t="s">
        <v>1134</v>
      </c>
      <c r="G564" s="3" t="s">
        <v>1135</v>
      </c>
      <c r="H564" s="2" t="s">
        <v>1115</v>
      </c>
      <c r="I564" s="4"/>
      <c r="J564" s="4"/>
      <c r="K564" s="4"/>
      <c r="L564" s="5"/>
      <c r="M564" s="3"/>
    </row>
    <row r="565" spans="1:13" x14ac:dyDescent="0.3">
      <c r="A565" s="2">
        <v>564</v>
      </c>
      <c r="B565" s="2" t="s">
        <v>1055</v>
      </c>
      <c r="C565" s="2" t="s">
        <v>1073</v>
      </c>
      <c r="D565" s="2">
        <v>628</v>
      </c>
      <c r="E565" s="3" t="s">
        <v>1112</v>
      </c>
      <c r="F565" s="3" t="s">
        <v>1136</v>
      </c>
      <c r="G565" s="3" t="s">
        <v>1137</v>
      </c>
      <c r="H565" s="2" t="s">
        <v>1115</v>
      </c>
      <c r="I565" s="4"/>
      <c r="J565" s="4"/>
      <c r="K565" s="4"/>
      <c r="L565" s="5"/>
      <c r="M565" s="3"/>
    </row>
    <row r="566" spans="1:13" x14ac:dyDescent="0.3">
      <c r="A566" s="2">
        <v>565</v>
      </c>
      <c r="B566" s="2" t="s">
        <v>1055</v>
      </c>
      <c r="C566" s="2" t="s">
        <v>1073</v>
      </c>
      <c r="D566" s="2">
        <v>639</v>
      </c>
      <c r="E566" s="3" t="s">
        <v>1112</v>
      </c>
      <c r="F566" s="3" t="s">
        <v>1138</v>
      </c>
      <c r="G566" s="3" t="s">
        <v>1139</v>
      </c>
      <c r="H566" s="2" t="s">
        <v>1115</v>
      </c>
      <c r="I566" s="4"/>
      <c r="J566" s="4"/>
      <c r="K566" s="4"/>
      <c r="L566" s="5"/>
      <c r="M566" s="3"/>
    </row>
    <row r="567" spans="1:13" x14ac:dyDescent="0.3">
      <c r="A567" s="2">
        <v>566</v>
      </c>
      <c r="B567" s="2" t="s">
        <v>1055</v>
      </c>
      <c r="C567" s="2" t="s">
        <v>1073</v>
      </c>
      <c r="D567" s="2">
        <v>650</v>
      </c>
      <c r="E567" s="3" t="s">
        <v>1112</v>
      </c>
      <c r="F567" s="3" t="s">
        <v>1140</v>
      </c>
      <c r="G567" s="3" t="s">
        <v>1141</v>
      </c>
      <c r="H567" s="2" t="s">
        <v>1115</v>
      </c>
      <c r="I567" s="4"/>
      <c r="J567" s="4"/>
      <c r="K567" s="4"/>
      <c r="L567" s="5"/>
      <c r="M567" s="3"/>
    </row>
    <row r="568" spans="1:13" x14ac:dyDescent="0.3">
      <c r="A568" s="2">
        <v>567</v>
      </c>
      <c r="B568" s="2" t="s">
        <v>1055</v>
      </c>
      <c r="C568" s="2" t="s">
        <v>1073</v>
      </c>
      <c r="D568" s="2">
        <v>662</v>
      </c>
      <c r="E568" s="3" t="s">
        <v>1112</v>
      </c>
      <c r="F568" s="3" t="s">
        <v>1142</v>
      </c>
      <c r="G568" s="3" t="s">
        <v>1143</v>
      </c>
      <c r="H568" s="2" t="s">
        <v>1115</v>
      </c>
      <c r="I568" s="4"/>
      <c r="J568" s="4"/>
      <c r="K568" s="4"/>
      <c r="L568" s="5"/>
      <c r="M568" s="3"/>
    </row>
    <row r="569" spans="1:13" ht="28.8" x14ac:dyDescent="0.3">
      <c r="A569" s="2">
        <v>568</v>
      </c>
      <c r="B569" s="2" t="s">
        <v>1055</v>
      </c>
      <c r="C569" s="2" t="s">
        <v>1073</v>
      </c>
      <c r="D569" s="2">
        <v>671</v>
      </c>
      <c r="E569" s="3" t="s">
        <v>1112</v>
      </c>
      <c r="F569" s="3" t="s">
        <v>1144</v>
      </c>
      <c r="G569" s="3" t="s">
        <v>1145</v>
      </c>
      <c r="H569" s="2" t="s">
        <v>1115</v>
      </c>
      <c r="I569" s="4"/>
      <c r="J569" s="4"/>
      <c r="K569" s="4"/>
      <c r="L569" s="5"/>
      <c r="M569" s="3"/>
    </row>
    <row r="570" spans="1:13" x14ac:dyDescent="0.3">
      <c r="A570" s="2">
        <v>569</v>
      </c>
      <c r="B570" s="2" t="s">
        <v>1055</v>
      </c>
      <c r="C570" s="2" t="s">
        <v>1073</v>
      </c>
      <c r="D570" s="2">
        <v>694</v>
      </c>
      <c r="E570" s="3" t="s">
        <v>1112</v>
      </c>
      <c r="F570" s="3" t="s">
        <v>1146</v>
      </c>
      <c r="G570" s="3" t="s">
        <v>1147</v>
      </c>
      <c r="H570" s="2" t="s">
        <v>1115</v>
      </c>
      <c r="I570" s="4"/>
      <c r="J570" s="4"/>
      <c r="K570" s="4"/>
      <c r="L570" s="5"/>
      <c r="M570" s="3"/>
    </row>
    <row r="571" spans="1:13" x14ac:dyDescent="0.3">
      <c r="A571" s="2">
        <v>570</v>
      </c>
      <c r="B571" s="2" t="s">
        <v>1055</v>
      </c>
      <c r="C571" s="2" t="s">
        <v>1073</v>
      </c>
      <c r="D571" s="2">
        <v>702</v>
      </c>
      <c r="E571" s="3" t="s">
        <v>1112</v>
      </c>
      <c r="F571" s="3" t="s">
        <v>1148</v>
      </c>
      <c r="G571" s="3" t="s">
        <v>1149</v>
      </c>
      <c r="H571" s="2" t="s">
        <v>1115</v>
      </c>
      <c r="I571" s="4"/>
      <c r="J571" s="4"/>
      <c r="K571" s="4"/>
      <c r="L571" s="5"/>
      <c r="M571" s="3"/>
    </row>
    <row r="572" spans="1:13" x14ac:dyDescent="0.3">
      <c r="A572" s="2">
        <v>571</v>
      </c>
      <c r="B572" s="2" t="s">
        <v>1055</v>
      </c>
      <c r="C572" s="2" t="s">
        <v>1073</v>
      </c>
      <c r="D572" s="2">
        <v>709</v>
      </c>
      <c r="E572" s="3" t="s">
        <v>1112</v>
      </c>
      <c r="F572" s="3" t="s">
        <v>1150</v>
      </c>
      <c r="G572" s="3" t="s">
        <v>1151</v>
      </c>
      <c r="H572" s="2" t="s">
        <v>1115</v>
      </c>
      <c r="I572" s="4"/>
      <c r="J572" s="4"/>
      <c r="K572" s="4"/>
      <c r="L572" s="5"/>
      <c r="M572" s="3"/>
    </row>
    <row r="573" spans="1:13" ht="28.8" x14ac:dyDescent="0.3">
      <c r="A573" s="2">
        <v>572</v>
      </c>
      <c r="B573" s="2" t="s">
        <v>1055</v>
      </c>
      <c r="C573" s="2" t="s">
        <v>1073</v>
      </c>
      <c r="D573" s="2">
        <v>714</v>
      </c>
      <c r="E573" s="3" t="s">
        <v>1112</v>
      </c>
      <c r="F573" s="3" t="s">
        <v>1152</v>
      </c>
      <c r="G573" s="3" t="s">
        <v>1153</v>
      </c>
      <c r="H573" s="2" t="s">
        <v>1115</v>
      </c>
      <c r="I573" s="4"/>
      <c r="J573" s="4"/>
      <c r="K573" s="4"/>
      <c r="L573" s="5"/>
      <c r="M573" s="3"/>
    </row>
    <row r="574" spans="1:13" x14ac:dyDescent="0.3">
      <c r="A574" s="2">
        <v>573</v>
      </c>
      <c r="B574" s="2" t="s">
        <v>1055</v>
      </c>
      <c r="C574" s="2" t="s">
        <v>1073</v>
      </c>
      <c r="D574" s="2">
        <v>719</v>
      </c>
      <c r="E574" s="3" t="s">
        <v>1112</v>
      </c>
      <c r="F574" s="3" t="s">
        <v>1154</v>
      </c>
      <c r="G574" s="3" t="s">
        <v>1155</v>
      </c>
      <c r="H574" s="2" t="s">
        <v>1115</v>
      </c>
      <c r="I574" s="4"/>
      <c r="J574" s="4"/>
      <c r="K574" s="4"/>
      <c r="L574" s="5"/>
      <c r="M574" s="3"/>
    </row>
    <row r="575" spans="1:13" x14ac:dyDescent="0.3">
      <c r="A575" s="2">
        <v>574</v>
      </c>
      <c r="B575" s="2" t="s">
        <v>1055</v>
      </c>
      <c r="C575" s="2" t="s">
        <v>1073</v>
      </c>
      <c r="D575" s="2">
        <v>724</v>
      </c>
      <c r="E575" s="3" t="s">
        <v>1112</v>
      </c>
      <c r="F575" s="3" t="s">
        <v>1156</v>
      </c>
      <c r="G575" s="3" t="s">
        <v>1157</v>
      </c>
      <c r="H575" s="2" t="s">
        <v>1115</v>
      </c>
      <c r="I575" s="4"/>
      <c r="J575" s="4"/>
      <c r="K575" s="4"/>
      <c r="L575" s="5"/>
      <c r="M575" s="3"/>
    </row>
    <row r="576" spans="1:13" x14ac:dyDescent="0.3">
      <c r="A576" s="2">
        <v>575</v>
      </c>
      <c r="B576" s="2" t="s">
        <v>1055</v>
      </c>
      <c r="C576" s="2" t="s">
        <v>1073</v>
      </c>
      <c r="D576" s="2">
        <v>729</v>
      </c>
      <c r="E576" s="3" t="s">
        <v>1112</v>
      </c>
      <c r="F576" s="3" t="s">
        <v>1158</v>
      </c>
      <c r="G576" s="3" t="s">
        <v>1159</v>
      </c>
      <c r="H576" s="2" t="s">
        <v>1115</v>
      </c>
      <c r="I576" s="4"/>
      <c r="J576" s="4"/>
      <c r="K576" s="4"/>
      <c r="L576" s="5"/>
      <c r="M576" s="3"/>
    </row>
    <row r="577" spans="1:13" x14ac:dyDescent="0.3">
      <c r="A577" s="2">
        <v>576</v>
      </c>
      <c r="B577" s="2" t="s">
        <v>1055</v>
      </c>
      <c r="C577" s="2" t="s">
        <v>1073</v>
      </c>
      <c r="D577" s="2">
        <v>750</v>
      </c>
      <c r="E577" s="3" t="s">
        <v>1112</v>
      </c>
      <c r="F577" s="3" t="s">
        <v>1160</v>
      </c>
      <c r="G577" s="3" t="s">
        <v>1161</v>
      </c>
      <c r="H577" s="2" t="s">
        <v>1115</v>
      </c>
      <c r="I577" s="4"/>
      <c r="J577" s="4"/>
      <c r="K577" s="4"/>
      <c r="L577" s="5"/>
      <c r="M577" s="3"/>
    </row>
    <row r="578" spans="1:13" x14ac:dyDescent="0.3">
      <c r="A578" s="2">
        <v>577</v>
      </c>
      <c r="B578" s="2" t="s">
        <v>1055</v>
      </c>
      <c r="C578" s="2" t="s">
        <v>1073</v>
      </c>
      <c r="D578" s="2">
        <v>754</v>
      </c>
      <c r="E578" s="3" t="s">
        <v>1112</v>
      </c>
      <c r="F578" s="3" t="s">
        <v>1162</v>
      </c>
      <c r="G578" s="3" t="s">
        <v>1163</v>
      </c>
      <c r="H578" s="2" t="s">
        <v>1115</v>
      </c>
      <c r="I578" s="4"/>
      <c r="J578" s="4"/>
      <c r="K578" s="4"/>
      <c r="L578" s="5"/>
      <c r="M578" s="3"/>
    </row>
    <row r="579" spans="1:13" x14ac:dyDescent="0.3">
      <c r="A579" s="2">
        <v>578</v>
      </c>
      <c r="B579" s="2" t="s">
        <v>1055</v>
      </c>
      <c r="C579" s="2" t="s">
        <v>1073</v>
      </c>
      <c r="D579" s="2">
        <v>758</v>
      </c>
      <c r="E579" s="3" t="s">
        <v>1112</v>
      </c>
      <c r="F579" s="3" t="s">
        <v>1164</v>
      </c>
      <c r="G579" s="3" t="s">
        <v>1165</v>
      </c>
      <c r="H579" s="2" t="s">
        <v>1115</v>
      </c>
      <c r="I579" s="4"/>
      <c r="J579" s="4"/>
      <c r="K579" s="4"/>
      <c r="L579" s="5"/>
      <c r="M579" s="3"/>
    </row>
    <row r="580" spans="1:13" x14ac:dyDescent="0.3">
      <c r="A580" s="2">
        <v>579</v>
      </c>
      <c r="B580" s="2" t="s">
        <v>1055</v>
      </c>
      <c r="C580" s="2" t="s">
        <v>1073</v>
      </c>
      <c r="D580" s="2">
        <v>767</v>
      </c>
      <c r="E580" s="3" t="s">
        <v>1112</v>
      </c>
      <c r="F580" s="3" t="s">
        <v>1166</v>
      </c>
      <c r="G580" s="3" t="s">
        <v>1167</v>
      </c>
      <c r="H580" s="2" t="s">
        <v>1115</v>
      </c>
      <c r="I580" s="4"/>
      <c r="J580" s="4"/>
      <c r="K580" s="4"/>
      <c r="L580" s="5"/>
      <c r="M580" s="3"/>
    </row>
    <row r="581" spans="1:13" x14ac:dyDescent="0.3">
      <c r="A581" s="2">
        <v>580</v>
      </c>
      <c r="B581" s="2" t="s">
        <v>1055</v>
      </c>
      <c r="C581" s="2" t="s">
        <v>1073</v>
      </c>
      <c r="D581" s="2">
        <v>780</v>
      </c>
      <c r="E581" s="3" t="s">
        <v>1112</v>
      </c>
      <c r="F581" s="3" t="s">
        <v>1168</v>
      </c>
      <c r="G581" s="3" t="s">
        <v>1169</v>
      </c>
      <c r="H581" s="2" t="s">
        <v>1115</v>
      </c>
      <c r="I581" s="4"/>
      <c r="J581" s="4"/>
      <c r="K581" s="4"/>
      <c r="L581" s="5"/>
      <c r="M581" s="3"/>
    </row>
    <row r="582" spans="1:13" x14ac:dyDescent="0.3">
      <c r="A582" s="2">
        <v>581</v>
      </c>
      <c r="B582" s="2" t="s">
        <v>1055</v>
      </c>
      <c r="C582" s="2" t="s">
        <v>1073</v>
      </c>
      <c r="D582" s="2">
        <v>796</v>
      </c>
      <c r="E582" s="3" t="s">
        <v>1112</v>
      </c>
      <c r="F582" s="3" t="s">
        <v>1170</v>
      </c>
      <c r="G582" s="3" t="s">
        <v>1171</v>
      </c>
      <c r="H582" s="2" t="s">
        <v>1115</v>
      </c>
      <c r="I582" s="4"/>
      <c r="J582" s="4"/>
      <c r="K582" s="4"/>
      <c r="L582" s="5"/>
      <c r="M582" s="3"/>
    </row>
    <row r="583" spans="1:13" ht="28.8" x14ac:dyDescent="0.3">
      <c r="A583" s="2">
        <v>582</v>
      </c>
      <c r="B583" s="2" t="s">
        <v>1055</v>
      </c>
      <c r="C583" s="2" t="s">
        <v>1073</v>
      </c>
      <c r="D583" s="2">
        <v>801</v>
      </c>
      <c r="E583" s="3" t="s">
        <v>1112</v>
      </c>
      <c r="F583" s="3" t="s">
        <v>1172</v>
      </c>
      <c r="G583" s="3" t="s">
        <v>1173</v>
      </c>
      <c r="H583" s="2" t="s">
        <v>1115</v>
      </c>
      <c r="I583" s="4"/>
      <c r="J583" s="4"/>
      <c r="K583" s="4"/>
      <c r="L583" s="5"/>
      <c r="M583" s="3"/>
    </row>
    <row r="584" spans="1:13" ht="28.8" x14ac:dyDescent="0.3">
      <c r="A584" s="2">
        <v>583</v>
      </c>
      <c r="B584" s="2" t="s">
        <v>1055</v>
      </c>
      <c r="C584" s="2" t="s">
        <v>1073</v>
      </c>
      <c r="D584" s="2">
        <v>806</v>
      </c>
      <c r="E584" s="3" t="s">
        <v>1112</v>
      </c>
      <c r="F584" s="3" t="s">
        <v>1174</v>
      </c>
      <c r="G584" s="3" t="s">
        <v>1175</v>
      </c>
      <c r="H584" s="2" t="s">
        <v>1115</v>
      </c>
      <c r="I584" s="4"/>
      <c r="J584" s="4"/>
      <c r="K584" s="4"/>
      <c r="L584" s="5"/>
      <c r="M584" s="3"/>
    </row>
    <row r="585" spans="1:13" x14ac:dyDescent="0.3">
      <c r="A585" s="2">
        <v>584</v>
      </c>
      <c r="B585" s="2" t="s">
        <v>1055</v>
      </c>
      <c r="C585" s="2" t="s">
        <v>1073</v>
      </c>
      <c r="D585" s="2">
        <v>811</v>
      </c>
      <c r="E585" s="3" t="s">
        <v>1112</v>
      </c>
      <c r="F585" s="3" t="s">
        <v>1176</v>
      </c>
      <c r="G585" s="3" t="s">
        <v>1177</v>
      </c>
      <c r="H585" s="2" t="s">
        <v>1115</v>
      </c>
      <c r="I585" s="4"/>
      <c r="J585" s="4"/>
      <c r="K585" s="4"/>
      <c r="L585" s="5"/>
      <c r="M585" s="3"/>
    </row>
    <row r="586" spans="1:13" x14ac:dyDescent="0.3">
      <c r="A586" s="2">
        <v>585</v>
      </c>
      <c r="B586" s="2" t="s">
        <v>1055</v>
      </c>
      <c r="C586" s="2" t="s">
        <v>1073</v>
      </c>
      <c r="D586" s="2">
        <v>823</v>
      </c>
      <c r="E586" s="3" t="s">
        <v>1112</v>
      </c>
      <c r="F586" s="3" t="s">
        <v>1178</v>
      </c>
      <c r="G586" s="3" t="s">
        <v>1179</v>
      </c>
      <c r="H586" s="2" t="s">
        <v>1115</v>
      </c>
      <c r="I586" s="4"/>
      <c r="J586" s="4"/>
      <c r="K586" s="4"/>
      <c r="L586" s="5"/>
      <c r="M586" s="3"/>
    </row>
    <row r="587" spans="1:13" x14ac:dyDescent="0.3">
      <c r="A587" s="2">
        <v>586</v>
      </c>
      <c r="B587" s="2" t="s">
        <v>1055</v>
      </c>
      <c r="C587" s="2" t="s">
        <v>1073</v>
      </c>
      <c r="D587" s="2">
        <v>828</v>
      </c>
      <c r="E587" s="3" t="s">
        <v>1112</v>
      </c>
      <c r="F587" s="3" t="s">
        <v>1180</v>
      </c>
      <c r="G587" s="3" t="s">
        <v>1181</v>
      </c>
      <c r="H587" s="2" t="s">
        <v>1115</v>
      </c>
      <c r="I587" s="4"/>
      <c r="J587" s="4"/>
      <c r="K587" s="4"/>
      <c r="L587" s="5"/>
      <c r="M587" s="3"/>
    </row>
    <row r="588" spans="1:13" x14ac:dyDescent="0.3">
      <c r="A588" s="2">
        <v>587</v>
      </c>
      <c r="B588" s="2" t="s">
        <v>1055</v>
      </c>
      <c r="C588" s="2" t="s">
        <v>1073</v>
      </c>
      <c r="D588" s="2">
        <v>834</v>
      </c>
      <c r="E588" s="3" t="s">
        <v>1112</v>
      </c>
      <c r="F588" s="3" t="s">
        <v>1182</v>
      </c>
      <c r="G588" s="3" t="s">
        <v>1183</v>
      </c>
      <c r="H588" s="2" t="s">
        <v>1115</v>
      </c>
      <c r="I588" s="4"/>
      <c r="J588" s="4"/>
      <c r="K588" s="4"/>
      <c r="L588" s="5"/>
      <c r="M588" s="3"/>
    </row>
    <row r="589" spans="1:13" x14ac:dyDescent="0.3">
      <c r="A589" s="2">
        <v>588</v>
      </c>
      <c r="B589" s="2" t="s">
        <v>1055</v>
      </c>
      <c r="C589" s="2" t="s">
        <v>1073</v>
      </c>
      <c r="D589" s="2">
        <v>844</v>
      </c>
      <c r="E589" s="3" t="s">
        <v>1112</v>
      </c>
      <c r="F589" s="3" t="s">
        <v>1184</v>
      </c>
      <c r="G589" s="3" t="s">
        <v>1185</v>
      </c>
      <c r="H589" s="2" t="s">
        <v>1115</v>
      </c>
      <c r="I589" s="4"/>
      <c r="J589" s="4"/>
      <c r="K589" s="4"/>
      <c r="L589" s="5"/>
      <c r="M589" s="3"/>
    </row>
    <row r="590" spans="1:13" x14ac:dyDescent="0.3">
      <c r="A590" s="2">
        <v>589</v>
      </c>
      <c r="B590" s="2" t="s">
        <v>1055</v>
      </c>
      <c r="C590" s="2" t="s">
        <v>1073</v>
      </c>
      <c r="D590" s="2">
        <v>849</v>
      </c>
      <c r="E590" s="3" t="s">
        <v>1112</v>
      </c>
      <c r="F590" s="3" t="s">
        <v>1186</v>
      </c>
      <c r="G590" s="3" t="s">
        <v>1187</v>
      </c>
      <c r="H590" s="2" t="s">
        <v>1115</v>
      </c>
      <c r="I590" s="4"/>
      <c r="J590" s="4"/>
      <c r="K590" s="4"/>
      <c r="L590" s="5"/>
      <c r="M590" s="3"/>
    </row>
    <row r="591" spans="1:13" x14ac:dyDescent="0.3">
      <c r="A591" s="2">
        <v>590</v>
      </c>
      <c r="B591" s="2" t="s">
        <v>1055</v>
      </c>
      <c r="C591" s="2" t="s">
        <v>1073</v>
      </c>
      <c r="D591" s="2">
        <v>867</v>
      </c>
      <c r="E591" s="3" t="s">
        <v>1112</v>
      </c>
      <c r="F591" s="3" t="s">
        <v>1188</v>
      </c>
      <c r="G591" s="3" t="s">
        <v>1189</v>
      </c>
      <c r="H591" s="2" t="s">
        <v>1115</v>
      </c>
      <c r="I591" s="4"/>
      <c r="J591" s="4"/>
      <c r="K591" s="4"/>
      <c r="L591" s="5"/>
      <c r="M591" s="3"/>
    </row>
    <row r="592" spans="1:13" x14ac:dyDescent="0.3">
      <c r="A592" s="2">
        <v>591</v>
      </c>
      <c r="B592" s="2" t="s">
        <v>1055</v>
      </c>
      <c r="C592" s="2" t="s">
        <v>1073</v>
      </c>
      <c r="D592" s="2">
        <v>877</v>
      </c>
      <c r="E592" s="3" t="s">
        <v>1112</v>
      </c>
      <c r="F592" s="3" t="s">
        <v>1190</v>
      </c>
      <c r="G592" s="3" t="s">
        <v>1191</v>
      </c>
      <c r="H592" s="2" t="s">
        <v>1115</v>
      </c>
      <c r="I592" s="4"/>
      <c r="J592" s="4"/>
      <c r="K592" s="4"/>
      <c r="L592" s="5"/>
      <c r="M592" s="3"/>
    </row>
    <row r="593" spans="1:13" x14ac:dyDescent="0.3">
      <c r="A593" s="2">
        <v>592</v>
      </c>
      <c r="B593" s="2" t="s">
        <v>1055</v>
      </c>
      <c r="C593" s="2" t="s">
        <v>1073</v>
      </c>
      <c r="D593" s="2">
        <v>882</v>
      </c>
      <c r="E593" s="3" t="s">
        <v>1112</v>
      </c>
      <c r="F593" s="3" t="s">
        <v>1192</v>
      </c>
      <c r="G593" s="3" t="s">
        <v>1193</v>
      </c>
      <c r="H593" s="2" t="s">
        <v>1115</v>
      </c>
      <c r="I593" s="4"/>
      <c r="J593" s="4"/>
      <c r="K593" s="4"/>
      <c r="L593" s="5"/>
      <c r="M593" s="3"/>
    </row>
    <row r="594" spans="1:13" x14ac:dyDescent="0.3">
      <c r="A594" s="2">
        <v>593</v>
      </c>
      <c r="B594" s="2" t="s">
        <v>1055</v>
      </c>
      <c r="C594" s="2" t="s">
        <v>1073</v>
      </c>
      <c r="D594" s="2">
        <v>893</v>
      </c>
      <c r="E594" s="3" t="s">
        <v>1112</v>
      </c>
      <c r="F594" s="3" t="s">
        <v>1194</v>
      </c>
      <c r="G594" s="3" t="s">
        <v>1195</v>
      </c>
      <c r="H594" s="2" t="s">
        <v>1115</v>
      </c>
      <c r="I594" s="4"/>
      <c r="J594" s="4"/>
      <c r="K594" s="4"/>
      <c r="L594" s="5"/>
      <c r="M594" s="3"/>
    </row>
    <row r="595" spans="1:13" ht="28.8" x14ac:dyDescent="0.3">
      <c r="A595" s="2">
        <v>594</v>
      </c>
      <c r="B595" s="2" t="s">
        <v>1055</v>
      </c>
      <c r="C595" s="2" t="s">
        <v>1073</v>
      </c>
      <c r="D595" s="2">
        <v>898</v>
      </c>
      <c r="E595" s="3" t="s">
        <v>1112</v>
      </c>
      <c r="F595" s="3" t="s">
        <v>1196</v>
      </c>
      <c r="G595" s="3" t="s">
        <v>1197</v>
      </c>
      <c r="H595" s="2" t="s">
        <v>1115</v>
      </c>
      <c r="I595" s="4"/>
      <c r="J595" s="4"/>
      <c r="K595" s="4"/>
      <c r="L595" s="5"/>
      <c r="M595" s="3"/>
    </row>
    <row r="596" spans="1:13" x14ac:dyDescent="0.3">
      <c r="A596" s="2">
        <v>595</v>
      </c>
      <c r="B596" s="2" t="s">
        <v>1055</v>
      </c>
      <c r="C596" s="2" t="s">
        <v>1073</v>
      </c>
      <c r="D596" s="2">
        <v>905</v>
      </c>
      <c r="E596" s="3" t="s">
        <v>1112</v>
      </c>
      <c r="F596" s="3" t="s">
        <v>1198</v>
      </c>
      <c r="G596" s="3" t="s">
        <v>1199</v>
      </c>
      <c r="H596" s="2" t="s">
        <v>1115</v>
      </c>
      <c r="I596" s="4"/>
      <c r="J596" s="4"/>
      <c r="K596" s="4"/>
      <c r="L596" s="5"/>
      <c r="M596" s="3"/>
    </row>
    <row r="597" spans="1:13" x14ac:dyDescent="0.3">
      <c r="A597" s="2">
        <v>596</v>
      </c>
      <c r="B597" s="2" t="s">
        <v>1055</v>
      </c>
      <c r="C597" s="2" t="s">
        <v>1073</v>
      </c>
      <c r="D597" s="2">
        <v>912</v>
      </c>
      <c r="E597" s="3" t="s">
        <v>1112</v>
      </c>
      <c r="F597" s="3" t="s">
        <v>1200</v>
      </c>
      <c r="G597" s="3" t="s">
        <v>1201</v>
      </c>
      <c r="H597" s="2" t="s">
        <v>1115</v>
      </c>
      <c r="I597" s="4"/>
      <c r="J597" s="4"/>
      <c r="K597" s="4"/>
      <c r="L597" s="5"/>
      <c r="M597" s="3"/>
    </row>
    <row r="598" spans="1:13" x14ac:dyDescent="0.3">
      <c r="A598" s="2">
        <v>597</v>
      </c>
      <c r="B598" s="2" t="s">
        <v>1055</v>
      </c>
      <c r="C598" s="2" t="s">
        <v>1073</v>
      </c>
      <c r="D598" s="2">
        <v>917</v>
      </c>
      <c r="E598" s="3" t="s">
        <v>1112</v>
      </c>
      <c r="F598" s="3" t="s">
        <v>1202</v>
      </c>
      <c r="G598" s="3" t="s">
        <v>1203</v>
      </c>
      <c r="H598" s="2" t="s">
        <v>1115</v>
      </c>
      <c r="I598" s="4"/>
      <c r="J598" s="4"/>
      <c r="K598" s="4"/>
      <c r="L598" s="5"/>
      <c r="M598" s="3"/>
    </row>
    <row r="599" spans="1:13" x14ac:dyDescent="0.3">
      <c r="A599" s="2">
        <v>598</v>
      </c>
      <c r="B599" s="2" t="s">
        <v>1055</v>
      </c>
      <c r="C599" s="2" t="s">
        <v>1073</v>
      </c>
      <c r="D599" s="2">
        <v>926</v>
      </c>
      <c r="E599" s="3" t="s">
        <v>1112</v>
      </c>
      <c r="F599" s="3" t="s">
        <v>1204</v>
      </c>
      <c r="G599" s="3" t="s">
        <v>1205</v>
      </c>
      <c r="H599" s="2" t="s">
        <v>1115</v>
      </c>
      <c r="I599" s="4"/>
      <c r="J599" s="4"/>
      <c r="K599" s="4"/>
      <c r="L599" s="5"/>
      <c r="M599" s="3"/>
    </row>
    <row r="600" spans="1:13" x14ac:dyDescent="0.3">
      <c r="A600" s="2">
        <v>599</v>
      </c>
      <c r="B600" s="2" t="s">
        <v>1055</v>
      </c>
      <c r="C600" s="2" t="s">
        <v>1073</v>
      </c>
      <c r="D600" s="2">
        <v>937</v>
      </c>
      <c r="E600" s="3" t="s">
        <v>1112</v>
      </c>
      <c r="F600" s="3" t="s">
        <v>1206</v>
      </c>
      <c r="G600" s="3" t="s">
        <v>1207</v>
      </c>
      <c r="H600" s="2" t="s">
        <v>1115</v>
      </c>
      <c r="I600" s="4"/>
      <c r="J600" s="4"/>
      <c r="K600" s="4"/>
      <c r="L600" s="5"/>
      <c r="M600" s="3"/>
    </row>
    <row r="601" spans="1:13" x14ac:dyDescent="0.3">
      <c r="A601" s="2">
        <v>600</v>
      </c>
      <c r="B601" s="2" t="s">
        <v>1055</v>
      </c>
      <c r="C601" s="2" t="s">
        <v>1073</v>
      </c>
      <c r="D601" s="2">
        <v>943</v>
      </c>
      <c r="E601" s="3" t="s">
        <v>1112</v>
      </c>
      <c r="F601" s="3" t="s">
        <v>1208</v>
      </c>
      <c r="G601" s="3" t="s">
        <v>1209</v>
      </c>
      <c r="H601" s="2" t="s">
        <v>1115</v>
      </c>
      <c r="I601" s="4"/>
      <c r="J601" s="4"/>
      <c r="K601" s="4"/>
      <c r="L601" s="5"/>
      <c r="M601" s="3"/>
    </row>
    <row r="602" spans="1:13" x14ac:dyDescent="0.3">
      <c r="A602" s="2">
        <v>601</v>
      </c>
      <c r="B602" s="2" t="s">
        <v>1055</v>
      </c>
      <c r="C602" s="2" t="s">
        <v>1073</v>
      </c>
      <c r="D602" s="2">
        <v>949</v>
      </c>
      <c r="E602" s="3" t="s">
        <v>1112</v>
      </c>
      <c r="F602" s="3" t="s">
        <v>1210</v>
      </c>
      <c r="G602" s="3" t="s">
        <v>1211</v>
      </c>
      <c r="H602" s="2" t="s">
        <v>1115</v>
      </c>
      <c r="I602" s="4"/>
      <c r="J602" s="4"/>
      <c r="K602" s="4"/>
      <c r="L602" s="5"/>
      <c r="M602" s="3"/>
    </row>
    <row r="603" spans="1:13" x14ac:dyDescent="0.3">
      <c r="A603" s="2">
        <v>602</v>
      </c>
      <c r="B603" s="2" t="s">
        <v>1055</v>
      </c>
      <c r="C603" s="2" t="s">
        <v>1073</v>
      </c>
      <c r="D603" s="2">
        <v>956</v>
      </c>
      <c r="E603" s="3" t="s">
        <v>1112</v>
      </c>
      <c r="F603" s="3" t="s">
        <v>1212</v>
      </c>
      <c r="G603" s="3" t="s">
        <v>1213</v>
      </c>
      <c r="H603" s="2"/>
      <c r="I603" s="4"/>
      <c r="J603" s="4"/>
      <c r="K603" s="4"/>
      <c r="L603" s="5"/>
      <c r="M603" s="3"/>
    </row>
    <row r="604" spans="1:13" x14ac:dyDescent="0.3">
      <c r="A604" s="2">
        <v>603</v>
      </c>
      <c r="B604" s="2" t="s">
        <v>1055</v>
      </c>
      <c r="C604" s="2" t="s">
        <v>1073</v>
      </c>
      <c r="D604" s="2">
        <v>960</v>
      </c>
      <c r="E604" s="3" t="s">
        <v>1112</v>
      </c>
      <c r="F604" s="3" t="s">
        <v>1214</v>
      </c>
      <c r="G604" s="3" t="s">
        <v>1215</v>
      </c>
      <c r="H604" s="2"/>
      <c r="I604" s="4"/>
      <c r="J604" s="4"/>
      <c r="K604" s="4"/>
      <c r="L604" s="5"/>
      <c r="M604" s="3"/>
    </row>
    <row r="605" spans="1:13" ht="28.8" x14ac:dyDescent="0.3">
      <c r="A605" s="2">
        <v>604</v>
      </c>
      <c r="B605" s="2" t="s">
        <v>1055</v>
      </c>
      <c r="C605" s="2" t="s">
        <v>1073</v>
      </c>
      <c r="D605" s="2">
        <v>964</v>
      </c>
      <c r="E605" s="3" t="s">
        <v>1112</v>
      </c>
      <c r="F605" s="3" t="s">
        <v>1216</v>
      </c>
      <c r="G605" s="3" t="s">
        <v>1217</v>
      </c>
      <c r="H605" s="2" t="s">
        <v>1115</v>
      </c>
      <c r="I605" s="4"/>
      <c r="J605" s="4"/>
      <c r="K605" s="4"/>
      <c r="L605" s="5"/>
      <c r="M605" s="3"/>
    </row>
    <row r="606" spans="1:13" ht="28.8" x14ac:dyDescent="0.3">
      <c r="A606" s="2">
        <v>605</v>
      </c>
      <c r="B606" s="2" t="s">
        <v>1055</v>
      </c>
      <c r="C606" s="2" t="s">
        <v>1073</v>
      </c>
      <c r="D606" s="2">
        <v>976</v>
      </c>
      <c r="E606" s="3" t="s">
        <v>1112</v>
      </c>
      <c r="F606" s="3" t="s">
        <v>1218</v>
      </c>
      <c r="G606" s="3" t="s">
        <v>1219</v>
      </c>
      <c r="H606" s="2" t="s">
        <v>1115</v>
      </c>
      <c r="I606" s="4"/>
      <c r="J606" s="4"/>
      <c r="K606" s="4"/>
      <c r="L606" s="5"/>
      <c r="M606" s="3"/>
    </row>
    <row r="607" spans="1:13" x14ac:dyDescent="0.3">
      <c r="A607" s="2">
        <v>606</v>
      </c>
      <c r="B607" s="2" t="s">
        <v>1055</v>
      </c>
      <c r="C607" s="2" t="s">
        <v>1073</v>
      </c>
      <c r="D607" s="2">
        <v>992</v>
      </c>
      <c r="E607" s="3" t="s">
        <v>1112</v>
      </c>
      <c r="F607" s="3" t="s">
        <v>1220</v>
      </c>
      <c r="G607" s="3" t="s">
        <v>1221</v>
      </c>
      <c r="H607" s="2" t="s">
        <v>1115</v>
      </c>
      <c r="I607" s="4"/>
      <c r="J607" s="4"/>
      <c r="K607" s="4"/>
      <c r="L607" s="5"/>
      <c r="M607" s="3"/>
    </row>
    <row r="608" spans="1:13" x14ac:dyDescent="0.3">
      <c r="A608" s="2">
        <v>607</v>
      </c>
      <c r="B608" s="2" t="s">
        <v>1055</v>
      </c>
      <c r="C608" s="2" t="s">
        <v>1073</v>
      </c>
      <c r="D608" s="2">
        <v>998</v>
      </c>
      <c r="E608" s="3" t="s">
        <v>1112</v>
      </c>
      <c r="F608" s="3" t="s">
        <v>1222</v>
      </c>
      <c r="G608" s="3" t="s">
        <v>1223</v>
      </c>
      <c r="H608" s="2" t="s">
        <v>1115</v>
      </c>
      <c r="I608" s="4"/>
      <c r="J608" s="4"/>
      <c r="K608" s="4"/>
      <c r="L608" s="5"/>
      <c r="M608" s="3"/>
    </row>
    <row r="609" spans="1:13" x14ac:dyDescent="0.3">
      <c r="A609" s="2">
        <v>608</v>
      </c>
      <c r="B609" s="2" t="s">
        <v>1055</v>
      </c>
      <c r="C609" s="2" t="s">
        <v>1073</v>
      </c>
      <c r="D609" s="2">
        <v>1004</v>
      </c>
      <c r="E609" s="3" t="s">
        <v>1112</v>
      </c>
      <c r="F609" s="3" t="s">
        <v>1224</v>
      </c>
      <c r="G609" s="3" t="s">
        <v>1225</v>
      </c>
      <c r="H609" s="2" t="s">
        <v>1115</v>
      </c>
      <c r="I609" s="4"/>
      <c r="J609" s="4"/>
      <c r="K609" s="4"/>
      <c r="L609" s="5"/>
      <c r="M609" s="3"/>
    </row>
    <row r="610" spans="1:13" x14ac:dyDescent="0.3">
      <c r="A610" s="2">
        <v>609</v>
      </c>
      <c r="B610" s="2" t="s">
        <v>1055</v>
      </c>
      <c r="C610" s="2" t="s">
        <v>1073</v>
      </c>
      <c r="D610" s="2">
        <v>1016</v>
      </c>
      <c r="E610" s="3" t="s">
        <v>1112</v>
      </c>
      <c r="F610" s="3" t="s">
        <v>1226</v>
      </c>
      <c r="G610" s="3" t="s">
        <v>1227</v>
      </c>
      <c r="H610" s="2" t="s">
        <v>1228</v>
      </c>
      <c r="I610" s="4"/>
      <c r="J610" s="4"/>
      <c r="K610" s="4"/>
      <c r="L610" s="5"/>
      <c r="M610" s="3"/>
    </row>
    <row r="611" spans="1:13" x14ac:dyDescent="0.3">
      <c r="A611" s="2">
        <v>610</v>
      </c>
      <c r="B611" s="2" t="s">
        <v>1055</v>
      </c>
      <c r="C611" s="2" t="s">
        <v>1073</v>
      </c>
      <c r="D611" s="2">
        <v>1025</v>
      </c>
      <c r="E611" s="3" t="s">
        <v>1112</v>
      </c>
      <c r="F611" s="3" t="s">
        <v>1229</v>
      </c>
      <c r="G611" s="3" t="s">
        <v>1230</v>
      </c>
      <c r="H611" s="2" t="s">
        <v>1228</v>
      </c>
      <c r="I611" s="4"/>
      <c r="J611" s="4"/>
      <c r="K611" s="4"/>
      <c r="L611" s="5"/>
      <c r="M611" s="3"/>
    </row>
    <row r="612" spans="1:13" x14ac:dyDescent="0.3">
      <c r="A612" s="2">
        <v>611</v>
      </c>
      <c r="B612" s="2" t="s">
        <v>1055</v>
      </c>
      <c r="C612" s="2" t="s">
        <v>1073</v>
      </c>
      <c r="D612" s="2">
        <v>1032</v>
      </c>
      <c r="E612" s="3" t="s">
        <v>1112</v>
      </c>
      <c r="F612" s="3" t="s">
        <v>1231</v>
      </c>
      <c r="G612" s="3" t="s">
        <v>1232</v>
      </c>
      <c r="H612" s="2" t="s">
        <v>1228</v>
      </c>
      <c r="I612" s="4"/>
      <c r="J612" s="4"/>
      <c r="K612" s="4"/>
      <c r="L612" s="5"/>
      <c r="M612" s="3"/>
    </row>
    <row r="613" spans="1:13" ht="28.8" x14ac:dyDescent="0.3">
      <c r="A613" s="2">
        <v>612</v>
      </c>
      <c r="B613" s="2" t="s">
        <v>1055</v>
      </c>
      <c r="C613" s="2" t="s">
        <v>1073</v>
      </c>
      <c r="D613" s="2">
        <v>1042</v>
      </c>
      <c r="E613" s="3" t="s">
        <v>1112</v>
      </c>
      <c r="F613" s="3" t="s">
        <v>1233</v>
      </c>
      <c r="G613" s="3" t="s">
        <v>1234</v>
      </c>
      <c r="H613" s="2" t="s">
        <v>1228</v>
      </c>
      <c r="I613" s="4"/>
      <c r="J613" s="4"/>
      <c r="K613" s="4"/>
      <c r="L613" s="5"/>
      <c r="M613" s="3"/>
    </row>
    <row r="614" spans="1:13" ht="28.8" x14ac:dyDescent="0.3">
      <c r="A614" s="2">
        <v>613</v>
      </c>
      <c r="B614" s="2" t="s">
        <v>1055</v>
      </c>
      <c r="C614" s="2" t="s">
        <v>1073</v>
      </c>
      <c r="D614" s="2">
        <v>1050</v>
      </c>
      <c r="E614" s="3" t="s">
        <v>1112</v>
      </c>
      <c r="F614" s="3" t="s">
        <v>1235</v>
      </c>
      <c r="G614" s="3" t="s">
        <v>1236</v>
      </c>
      <c r="H614" s="2" t="s">
        <v>1228</v>
      </c>
      <c r="I614" s="4"/>
      <c r="J614" s="4"/>
      <c r="K614" s="4"/>
      <c r="L614" s="5"/>
      <c r="M614" s="3"/>
    </row>
    <row r="615" spans="1:13" x14ac:dyDescent="0.3">
      <c r="A615" s="2">
        <v>614</v>
      </c>
      <c r="B615" s="2" t="s">
        <v>1055</v>
      </c>
      <c r="C615" s="2" t="s">
        <v>1073</v>
      </c>
      <c r="D615" s="2">
        <v>1057</v>
      </c>
      <c r="E615" s="3" t="s">
        <v>1112</v>
      </c>
      <c r="F615" s="3" t="s">
        <v>1237</v>
      </c>
      <c r="G615" s="3" t="s">
        <v>1238</v>
      </c>
      <c r="H615" s="2" t="s">
        <v>1228</v>
      </c>
      <c r="I615" s="4"/>
      <c r="J615" s="4"/>
      <c r="K615" s="4"/>
      <c r="L615" s="5"/>
      <c r="M615" s="3"/>
    </row>
    <row r="616" spans="1:13" x14ac:dyDescent="0.3">
      <c r="A616" s="2">
        <v>615</v>
      </c>
      <c r="B616" s="2" t="s">
        <v>1055</v>
      </c>
      <c r="C616" s="2" t="s">
        <v>1073</v>
      </c>
      <c r="D616" s="2">
        <v>1066</v>
      </c>
      <c r="E616" s="3" t="s">
        <v>1112</v>
      </c>
      <c r="F616" s="3" t="s">
        <v>1239</v>
      </c>
      <c r="G616" s="3" t="s">
        <v>1240</v>
      </c>
      <c r="H616" s="2" t="s">
        <v>1228</v>
      </c>
      <c r="I616" s="4"/>
      <c r="J616" s="4"/>
      <c r="K616" s="4"/>
      <c r="L616" s="5"/>
      <c r="M616" s="3"/>
    </row>
    <row r="617" spans="1:13" x14ac:dyDescent="0.3">
      <c r="A617" s="2">
        <v>616</v>
      </c>
      <c r="B617" s="2" t="s">
        <v>1055</v>
      </c>
      <c r="C617" s="2" t="s">
        <v>1073</v>
      </c>
      <c r="D617" s="2">
        <v>1076</v>
      </c>
      <c r="E617" s="3" t="s">
        <v>1112</v>
      </c>
      <c r="F617" s="3" t="s">
        <v>1241</v>
      </c>
      <c r="G617" s="3" t="s">
        <v>1242</v>
      </c>
      <c r="H617" s="2" t="s">
        <v>1228</v>
      </c>
      <c r="I617" s="4"/>
      <c r="J617" s="4"/>
      <c r="K617" s="4"/>
      <c r="L617" s="5"/>
      <c r="M617" s="3"/>
    </row>
    <row r="618" spans="1:13" x14ac:dyDescent="0.3">
      <c r="A618" s="2">
        <v>617</v>
      </c>
      <c r="B618" s="2" t="s">
        <v>1055</v>
      </c>
      <c r="C618" s="2" t="s">
        <v>1073</v>
      </c>
      <c r="D618" s="2">
        <v>1082</v>
      </c>
      <c r="E618" s="3" t="s">
        <v>1112</v>
      </c>
      <c r="F618" s="3" t="s">
        <v>1243</v>
      </c>
      <c r="G618" s="3" t="s">
        <v>1244</v>
      </c>
      <c r="H618" s="2" t="s">
        <v>1228</v>
      </c>
      <c r="I618" s="4"/>
      <c r="J618" s="4"/>
      <c r="K618" s="4"/>
      <c r="L618" s="5"/>
      <c r="M618" s="3"/>
    </row>
    <row r="619" spans="1:13" x14ac:dyDescent="0.3">
      <c r="A619" s="2">
        <v>618</v>
      </c>
      <c r="B619" s="2" t="s">
        <v>1055</v>
      </c>
      <c r="C619" s="2" t="s">
        <v>1073</v>
      </c>
      <c r="D619" s="2">
        <v>1096</v>
      </c>
      <c r="E619" s="3" t="s">
        <v>1112</v>
      </c>
      <c r="F619" s="3" t="s">
        <v>1245</v>
      </c>
      <c r="G619" s="3" t="s">
        <v>1246</v>
      </c>
      <c r="H619" s="2" t="s">
        <v>1228</v>
      </c>
      <c r="I619" s="4"/>
      <c r="J619" s="4"/>
      <c r="K619" s="4"/>
      <c r="L619" s="5"/>
      <c r="M619" s="3"/>
    </row>
    <row r="620" spans="1:13" x14ac:dyDescent="0.3">
      <c r="A620" s="2">
        <v>619</v>
      </c>
      <c r="B620" s="2" t="s">
        <v>1055</v>
      </c>
      <c r="C620" s="2" t="s">
        <v>1073</v>
      </c>
      <c r="D620" s="2">
        <v>1155</v>
      </c>
      <c r="E620" s="3" t="s">
        <v>1247</v>
      </c>
      <c r="F620" s="3" t="s">
        <v>1248</v>
      </c>
      <c r="G620" s="3" t="s">
        <v>1249</v>
      </c>
      <c r="H620" s="2" t="s">
        <v>1250</v>
      </c>
      <c r="I620" s="4"/>
      <c r="J620" s="4"/>
      <c r="K620" s="4"/>
      <c r="L620" s="5"/>
      <c r="M620" s="3"/>
    </row>
    <row r="621" spans="1:13" x14ac:dyDescent="0.3">
      <c r="A621" s="2">
        <v>620</v>
      </c>
      <c r="B621" s="2" t="s">
        <v>1055</v>
      </c>
      <c r="C621" s="2" t="s">
        <v>1073</v>
      </c>
      <c r="D621" s="2">
        <v>1165</v>
      </c>
      <c r="E621" s="3" t="s">
        <v>1247</v>
      </c>
      <c r="F621" s="3" t="s">
        <v>1251</v>
      </c>
      <c r="G621" s="3" t="s">
        <v>1252</v>
      </c>
      <c r="H621" s="2" t="s">
        <v>1250</v>
      </c>
      <c r="I621" s="4"/>
      <c r="J621" s="4"/>
      <c r="K621" s="4"/>
      <c r="L621" s="5"/>
      <c r="M621" s="3"/>
    </row>
    <row r="622" spans="1:13" x14ac:dyDescent="0.3">
      <c r="A622" s="2">
        <v>621</v>
      </c>
      <c r="B622" s="2" t="s">
        <v>1055</v>
      </c>
      <c r="C622" s="2" t="s">
        <v>1073</v>
      </c>
      <c r="D622" s="2">
        <v>1176</v>
      </c>
      <c r="E622" s="3" t="s">
        <v>1247</v>
      </c>
      <c r="F622" s="3" t="s">
        <v>1253</v>
      </c>
      <c r="G622" s="3" t="s">
        <v>1254</v>
      </c>
      <c r="H622" s="2" t="s">
        <v>1250</v>
      </c>
      <c r="I622" s="4"/>
      <c r="J622" s="4"/>
      <c r="K622" s="4"/>
      <c r="L622" s="5"/>
      <c r="M622" s="3"/>
    </row>
    <row r="623" spans="1:13" x14ac:dyDescent="0.3">
      <c r="A623" s="2">
        <v>622</v>
      </c>
      <c r="B623" s="2" t="s">
        <v>1055</v>
      </c>
      <c r="C623" s="2" t="s">
        <v>1073</v>
      </c>
      <c r="D623" s="2">
        <v>1184</v>
      </c>
      <c r="E623" s="3" t="s">
        <v>1247</v>
      </c>
      <c r="F623" s="3" t="s">
        <v>1255</v>
      </c>
      <c r="G623" s="3" t="s">
        <v>1256</v>
      </c>
      <c r="H623" s="2" t="s">
        <v>1250</v>
      </c>
      <c r="I623" s="4"/>
      <c r="J623" s="4"/>
      <c r="K623" s="4"/>
      <c r="L623" s="5"/>
      <c r="M623" s="3"/>
    </row>
    <row r="624" spans="1:13" x14ac:dyDescent="0.3">
      <c r="A624" s="2">
        <v>623</v>
      </c>
      <c r="B624" s="2" t="s">
        <v>1055</v>
      </c>
      <c r="C624" s="2" t="s">
        <v>1073</v>
      </c>
      <c r="D624" s="2">
        <v>1184</v>
      </c>
      <c r="E624" s="3" t="s">
        <v>1247</v>
      </c>
      <c r="F624" s="3" t="s">
        <v>1257</v>
      </c>
      <c r="G624" s="3" t="s">
        <v>1258</v>
      </c>
      <c r="H624" s="2" t="s">
        <v>1250</v>
      </c>
      <c r="I624" s="4"/>
      <c r="J624" s="4"/>
      <c r="K624" s="4"/>
      <c r="L624" s="5"/>
      <c r="M624" s="3"/>
    </row>
    <row r="625" spans="1:13" x14ac:dyDescent="0.3">
      <c r="A625" s="2">
        <v>624</v>
      </c>
      <c r="B625" s="2" t="s">
        <v>1055</v>
      </c>
      <c r="C625" s="2" t="s">
        <v>1073</v>
      </c>
      <c r="D625" s="2">
        <v>1184</v>
      </c>
      <c r="E625" s="3" t="s">
        <v>1247</v>
      </c>
      <c r="F625" s="3" t="s">
        <v>1259</v>
      </c>
      <c r="G625" s="3" t="s">
        <v>1260</v>
      </c>
      <c r="H625" s="2" t="s">
        <v>1250</v>
      </c>
      <c r="I625" s="4"/>
      <c r="J625" s="4"/>
      <c r="K625" s="4"/>
      <c r="L625" s="5"/>
      <c r="M625" s="3"/>
    </row>
    <row r="626" spans="1:13" x14ac:dyDescent="0.3">
      <c r="A626" s="2">
        <v>625</v>
      </c>
      <c r="B626" s="2" t="s">
        <v>1055</v>
      </c>
      <c r="C626" s="2" t="s">
        <v>1073</v>
      </c>
      <c r="D626" s="2">
        <v>1194</v>
      </c>
      <c r="E626" s="3" t="s">
        <v>1247</v>
      </c>
      <c r="F626" s="3" t="s">
        <v>1261</v>
      </c>
      <c r="G626" s="3" t="s">
        <v>1262</v>
      </c>
      <c r="H626" s="2" t="s">
        <v>1250</v>
      </c>
      <c r="I626" s="4"/>
      <c r="J626" s="4"/>
      <c r="K626" s="4"/>
      <c r="L626" s="5"/>
      <c r="M626" s="3"/>
    </row>
    <row r="627" spans="1:13" x14ac:dyDescent="0.3">
      <c r="A627" s="2">
        <v>626</v>
      </c>
      <c r="B627" s="2" t="s">
        <v>1055</v>
      </c>
      <c r="C627" s="2" t="s">
        <v>1073</v>
      </c>
      <c r="D627" s="2">
        <v>1203</v>
      </c>
      <c r="E627" s="3" t="s">
        <v>1247</v>
      </c>
      <c r="F627" s="3" t="s">
        <v>1263</v>
      </c>
      <c r="G627" s="3" t="s">
        <v>1264</v>
      </c>
      <c r="H627" s="2"/>
      <c r="I627" s="4"/>
      <c r="J627" s="4"/>
      <c r="K627" s="4"/>
      <c r="L627" s="5"/>
      <c r="M627" s="3"/>
    </row>
    <row r="628" spans="1:13" x14ac:dyDescent="0.3">
      <c r="A628" s="2">
        <v>627</v>
      </c>
      <c r="B628" s="2" t="s">
        <v>1055</v>
      </c>
      <c r="C628" s="2" t="s">
        <v>1073</v>
      </c>
      <c r="D628" s="2">
        <v>1206</v>
      </c>
      <c r="E628" s="3" t="s">
        <v>1247</v>
      </c>
      <c r="F628" s="3" t="s">
        <v>1265</v>
      </c>
      <c r="G628" s="3" t="s">
        <v>1266</v>
      </c>
      <c r="H628" s="2"/>
      <c r="I628" s="4"/>
      <c r="J628" s="4"/>
      <c r="K628" s="4"/>
      <c r="L628" s="5"/>
      <c r="M628" s="3"/>
    </row>
    <row r="629" spans="1:13" x14ac:dyDescent="0.3">
      <c r="A629" s="2">
        <v>628</v>
      </c>
      <c r="B629" s="2" t="s">
        <v>1055</v>
      </c>
      <c r="C629" s="2" t="s">
        <v>1073</v>
      </c>
      <c r="D629" s="2">
        <v>1209</v>
      </c>
      <c r="E629" s="3" t="s">
        <v>1247</v>
      </c>
      <c r="F629" s="3" t="s">
        <v>1267</v>
      </c>
      <c r="G629" s="3" t="s">
        <v>1268</v>
      </c>
      <c r="H629" s="2"/>
      <c r="I629" s="4"/>
      <c r="J629" s="4"/>
      <c r="K629" s="4"/>
      <c r="L629" s="5"/>
      <c r="M629" s="3"/>
    </row>
    <row r="630" spans="1:13" x14ac:dyDescent="0.3">
      <c r="A630" s="2">
        <v>629</v>
      </c>
      <c r="B630" s="2" t="s">
        <v>1055</v>
      </c>
      <c r="C630" s="2" t="s">
        <v>1073</v>
      </c>
      <c r="D630" s="2">
        <v>1219</v>
      </c>
      <c r="E630" s="3" t="s">
        <v>1247</v>
      </c>
      <c r="F630" s="3" t="s">
        <v>1269</v>
      </c>
      <c r="G630" s="3" t="s">
        <v>1270</v>
      </c>
      <c r="H630" s="2"/>
      <c r="I630" s="4"/>
      <c r="J630" s="4"/>
      <c r="K630" s="4"/>
      <c r="L630" s="5"/>
      <c r="M630" s="3"/>
    </row>
    <row r="631" spans="1:13" x14ac:dyDescent="0.3">
      <c r="A631" s="2">
        <v>630</v>
      </c>
      <c r="B631" s="2" t="s">
        <v>1055</v>
      </c>
      <c r="C631" s="2" t="s">
        <v>1073</v>
      </c>
      <c r="D631" s="2">
        <v>1219</v>
      </c>
      <c r="E631" s="3" t="s">
        <v>1247</v>
      </c>
      <c r="F631" s="3" t="s">
        <v>1271</v>
      </c>
      <c r="G631" s="3" t="s">
        <v>1272</v>
      </c>
      <c r="H631" s="2"/>
      <c r="I631" s="4"/>
      <c r="J631" s="4"/>
      <c r="K631" s="4"/>
      <c r="L631" s="5"/>
      <c r="M631" s="3"/>
    </row>
    <row r="632" spans="1:13" x14ac:dyDescent="0.3">
      <c r="A632" s="2">
        <v>631</v>
      </c>
      <c r="B632" s="2" t="s">
        <v>1055</v>
      </c>
      <c r="C632" s="2" t="s">
        <v>1073</v>
      </c>
      <c r="D632" s="2">
        <v>1219</v>
      </c>
      <c r="E632" s="3" t="s">
        <v>1247</v>
      </c>
      <c r="F632" s="3" t="s">
        <v>1273</v>
      </c>
      <c r="G632" s="3" t="s">
        <v>1274</v>
      </c>
      <c r="H632" s="2"/>
      <c r="I632" s="4"/>
      <c r="J632" s="4"/>
      <c r="K632" s="4"/>
      <c r="L632" s="5"/>
      <c r="M632" s="3"/>
    </row>
    <row r="633" spans="1:13" x14ac:dyDescent="0.3">
      <c r="A633" s="2">
        <v>632</v>
      </c>
      <c r="B633" s="2" t="s">
        <v>1055</v>
      </c>
      <c r="C633" s="2" t="s">
        <v>1073</v>
      </c>
      <c r="D633" s="2">
        <v>1219</v>
      </c>
      <c r="E633" s="3" t="s">
        <v>1247</v>
      </c>
      <c r="F633" s="3" t="s">
        <v>1275</v>
      </c>
      <c r="G633" s="3" t="s">
        <v>1276</v>
      </c>
      <c r="H633" s="2"/>
      <c r="I633" s="4"/>
      <c r="J633" s="4"/>
      <c r="K633" s="4"/>
      <c r="L633" s="5"/>
      <c r="M633" s="3"/>
    </row>
    <row r="634" spans="1:13" x14ac:dyDescent="0.3">
      <c r="A634" s="2">
        <v>633</v>
      </c>
      <c r="B634" s="2" t="s">
        <v>1055</v>
      </c>
      <c r="C634" s="2" t="s">
        <v>1073</v>
      </c>
      <c r="D634" s="2">
        <v>1219</v>
      </c>
      <c r="E634" s="3" t="s">
        <v>1247</v>
      </c>
      <c r="F634" s="3" t="s">
        <v>1277</v>
      </c>
      <c r="G634" s="3" t="s">
        <v>1278</v>
      </c>
      <c r="H634" s="2"/>
      <c r="I634" s="4"/>
      <c r="J634" s="4"/>
      <c r="K634" s="4"/>
      <c r="L634" s="5"/>
      <c r="M634" s="3"/>
    </row>
    <row r="635" spans="1:13" x14ac:dyDescent="0.3">
      <c r="A635" s="2">
        <v>634</v>
      </c>
      <c r="B635" s="2" t="s">
        <v>1055</v>
      </c>
      <c r="C635" s="2" t="s">
        <v>1073</v>
      </c>
      <c r="D635" s="2">
        <v>1226</v>
      </c>
      <c r="E635" s="3" t="s">
        <v>1247</v>
      </c>
      <c r="F635" s="3" t="s">
        <v>1279</v>
      </c>
      <c r="G635" s="3" t="s">
        <v>1280</v>
      </c>
      <c r="H635" s="2" t="s">
        <v>1250</v>
      </c>
      <c r="I635" s="4"/>
      <c r="J635" s="4"/>
      <c r="K635" s="4"/>
      <c r="L635" s="5"/>
      <c r="M635" s="3"/>
    </row>
    <row r="636" spans="1:13" x14ac:dyDescent="0.3">
      <c r="A636" s="2">
        <v>635</v>
      </c>
      <c r="B636" s="2" t="s">
        <v>1055</v>
      </c>
      <c r="C636" s="2" t="s">
        <v>1073</v>
      </c>
      <c r="D636" s="2">
        <v>1238</v>
      </c>
      <c r="E636" s="3" t="s">
        <v>1247</v>
      </c>
      <c r="F636" s="3" t="s">
        <v>1281</v>
      </c>
      <c r="G636" s="3" t="s">
        <v>1282</v>
      </c>
      <c r="H636" s="2" t="s">
        <v>1250</v>
      </c>
      <c r="I636" s="4"/>
      <c r="J636" s="4"/>
      <c r="K636" s="4"/>
      <c r="L636" s="5"/>
      <c r="M636" s="3"/>
    </row>
    <row r="637" spans="1:13" x14ac:dyDescent="0.3">
      <c r="A637" s="2">
        <v>636</v>
      </c>
      <c r="B637" s="2" t="s">
        <v>1055</v>
      </c>
      <c r="C637" s="2" t="s">
        <v>1073</v>
      </c>
      <c r="D637" s="2">
        <v>1245</v>
      </c>
      <c r="E637" s="3" t="s">
        <v>1247</v>
      </c>
      <c r="F637" s="3" t="s">
        <v>1283</v>
      </c>
      <c r="G637" s="3" t="s">
        <v>1284</v>
      </c>
      <c r="H637" s="2" t="s">
        <v>1250</v>
      </c>
      <c r="I637" s="4"/>
      <c r="J637" s="4"/>
      <c r="K637" s="4"/>
      <c r="L637" s="5"/>
      <c r="M637" s="3"/>
    </row>
    <row r="638" spans="1:13" x14ac:dyDescent="0.3">
      <c r="A638" s="2">
        <v>637</v>
      </c>
      <c r="B638" s="2" t="s">
        <v>1055</v>
      </c>
      <c r="C638" s="2" t="s">
        <v>1073</v>
      </c>
      <c r="D638" s="2">
        <v>1256</v>
      </c>
      <c r="E638" s="3" t="s">
        <v>1247</v>
      </c>
      <c r="F638" s="3" t="s">
        <v>1285</v>
      </c>
      <c r="G638" s="3" t="s">
        <v>1286</v>
      </c>
      <c r="H638" s="2" t="s">
        <v>1250</v>
      </c>
      <c r="I638" s="4"/>
      <c r="J638" s="4"/>
      <c r="K638" s="4"/>
      <c r="L638" s="5"/>
      <c r="M638" s="3"/>
    </row>
    <row r="639" spans="1:13" x14ac:dyDescent="0.3">
      <c r="A639" s="2">
        <v>638</v>
      </c>
      <c r="B639" s="2" t="s">
        <v>1055</v>
      </c>
      <c r="C639" s="2" t="s">
        <v>1073</v>
      </c>
      <c r="D639" s="2">
        <v>1268</v>
      </c>
      <c r="E639" s="3" t="s">
        <v>1247</v>
      </c>
      <c r="F639" s="3" t="s">
        <v>1287</v>
      </c>
      <c r="G639" s="3" t="s">
        <v>1288</v>
      </c>
      <c r="H639" s="2" t="s">
        <v>1250</v>
      </c>
      <c r="I639" s="4"/>
      <c r="J639" s="4"/>
      <c r="K639" s="4"/>
      <c r="L639" s="5"/>
      <c r="M639" s="3"/>
    </row>
    <row r="640" spans="1:13" x14ac:dyDescent="0.3">
      <c r="A640" s="2">
        <v>639</v>
      </c>
      <c r="B640" s="2" t="s">
        <v>1055</v>
      </c>
      <c r="C640" s="2" t="s">
        <v>1073</v>
      </c>
      <c r="D640" s="2">
        <v>1277</v>
      </c>
      <c r="E640" s="3" t="s">
        <v>1247</v>
      </c>
      <c r="F640" s="3" t="s">
        <v>1289</v>
      </c>
      <c r="G640" s="3" t="s">
        <v>1290</v>
      </c>
      <c r="H640" s="2" t="s">
        <v>1250</v>
      </c>
      <c r="I640" s="4"/>
      <c r="J640" s="4"/>
      <c r="K640" s="4"/>
      <c r="L640" s="5"/>
      <c r="M640" s="3"/>
    </row>
    <row r="641" spans="1:13" x14ac:dyDescent="0.3">
      <c r="A641" s="2">
        <v>640</v>
      </c>
      <c r="B641" s="2" t="s">
        <v>1055</v>
      </c>
      <c r="C641" s="2" t="s">
        <v>1073</v>
      </c>
      <c r="D641" s="2">
        <v>1283</v>
      </c>
      <c r="E641" s="3" t="s">
        <v>1247</v>
      </c>
      <c r="F641" s="3" t="s">
        <v>1291</v>
      </c>
      <c r="G641" s="3" t="s">
        <v>1292</v>
      </c>
      <c r="H641" s="2" t="s">
        <v>1250</v>
      </c>
      <c r="I641" s="4"/>
      <c r="J641" s="4"/>
      <c r="K641" s="4"/>
      <c r="L641" s="5"/>
      <c r="M641" s="3"/>
    </row>
    <row r="642" spans="1:13" x14ac:dyDescent="0.3">
      <c r="A642" s="2">
        <v>641</v>
      </c>
      <c r="B642" s="2" t="s">
        <v>1055</v>
      </c>
      <c r="C642" s="2" t="s">
        <v>1073</v>
      </c>
      <c r="D642" s="2">
        <v>1291</v>
      </c>
      <c r="E642" s="3" t="s">
        <v>1247</v>
      </c>
      <c r="F642" s="3" t="s">
        <v>1293</v>
      </c>
      <c r="G642" s="3" t="s">
        <v>1294</v>
      </c>
      <c r="H642" s="2" t="s">
        <v>1250</v>
      </c>
      <c r="I642" s="4"/>
      <c r="J642" s="4"/>
      <c r="K642" s="4"/>
      <c r="L642" s="5"/>
      <c r="M642" s="3"/>
    </row>
    <row r="643" spans="1:13" x14ac:dyDescent="0.3">
      <c r="A643" s="2">
        <v>642</v>
      </c>
      <c r="B643" s="2" t="s">
        <v>1055</v>
      </c>
      <c r="C643" s="2" t="s">
        <v>1073</v>
      </c>
      <c r="D643" s="2">
        <v>1299</v>
      </c>
      <c r="E643" s="3" t="s">
        <v>1247</v>
      </c>
      <c r="F643" s="3" t="s">
        <v>1295</v>
      </c>
      <c r="G643" s="3" t="s">
        <v>1296</v>
      </c>
      <c r="H643" s="2" t="s">
        <v>1250</v>
      </c>
      <c r="I643" s="4"/>
      <c r="J643" s="4"/>
      <c r="K643" s="4"/>
      <c r="L643" s="5"/>
      <c r="M643" s="3"/>
    </row>
    <row r="644" spans="1:13" x14ac:dyDescent="0.3">
      <c r="A644" s="2">
        <v>643</v>
      </c>
      <c r="B644" s="2" t="s">
        <v>1055</v>
      </c>
      <c r="C644" s="2" t="s">
        <v>1073</v>
      </c>
      <c r="D644" s="2">
        <v>1309</v>
      </c>
      <c r="E644" s="3" t="s">
        <v>1247</v>
      </c>
      <c r="F644" s="3" t="s">
        <v>1297</v>
      </c>
      <c r="G644" s="3" t="s">
        <v>1298</v>
      </c>
      <c r="H644" s="2" t="s">
        <v>1250</v>
      </c>
      <c r="I644" s="4"/>
      <c r="J644" s="4"/>
      <c r="K644" s="4"/>
      <c r="L644" s="5"/>
      <c r="M644" s="3"/>
    </row>
    <row r="645" spans="1:13" x14ac:dyDescent="0.3">
      <c r="A645" s="2">
        <v>644</v>
      </c>
      <c r="B645" s="2" t="s">
        <v>1055</v>
      </c>
      <c r="C645" s="2" t="s">
        <v>1073</v>
      </c>
      <c r="D645" s="2">
        <v>1321</v>
      </c>
      <c r="E645" s="3" t="s">
        <v>1247</v>
      </c>
      <c r="F645" s="3" t="s">
        <v>1299</v>
      </c>
      <c r="G645" s="3" t="s">
        <v>1300</v>
      </c>
      <c r="H645" s="2" t="s">
        <v>1250</v>
      </c>
      <c r="I645" s="4"/>
      <c r="J645" s="4"/>
      <c r="K645" s="4"/>
      <c r="L645" s="5"/>
      <c r="M645" s="3"/>
    </row>
    <row r="646" spans="1:13" x14ac:dyDescent="0.3">
      <c r="A646" s="2">
        <v>645</v>
      </c>
      <c r="B646" s="2" t="s">
        <v>1055</v>
      </c>
      <c r="C646" s="2" t="s">
        <v>1073</v>
      </c>
      <c r="D646" s="2">
        <v>1329</v>
      </c>
      <c r="E646" s="3" t="s">
        <v>1247</v>
      </c>
      <c r="F646" s="3" t="s">
        <v>1301</v>
      </c>
      <c r="G646" s="3" t="s">
        <v>1302</v>
      </c>
      <c r="H646" s="2" t="s">
        <v>1250</v>
      </c>
      <c r="I646" s="4"/>
      <c r="J646" s="4"/>
      <c r="K646" s="4"/>
      <c r="L646" s="5"/>
      <c r="M646" s="3"/>
    </row>
    <row r="647" spans="1:13" x14ac:dyDescent="0.3">
      <c r="A647" s="2">
        <v>646</v>
      </c>
      <c r="B647" s="2" t="s">
        <v>1055</v>
      </c>
      <c r="C647" s="2" t="s">
        <v>1073</v>
      </c>
      <c r="D647" s="2">
        <v>1337</v>
      </c>
      <c r="E647" s="3" t="s">
        <v>1247</v>
      </c>
      <c r="F647" s="3" t="s">
        <v>1303</v>
      </c>
      <c r="G647" s="3" t="s">
        <v>1304</v>
      </c>
      <c r="H647" s="2" t="s">
        <v>1250</v>
      </c>
      <c r="I647" s="4"/>
      <c r="J647" s="4"/>
      <c r="K647" s="4"/>
      <c r="L647" s="5"/>
      <c r="M647" s="3"/>
    </row>
    <row r="648" spans="1:13" x14ac:dyDescent="0.3">
      <c r="A648" s="2">
        <v>647</v>
      </c>
      <c r="B648" s="2" t="s">
        <v>1055</v>
      </c>
      <c r="C648" s="2" t="s">
        <v>1073</v>
      </c>
      <c r="D648" s="2">
        <v>1347</v>
      </c>
      <c r="E648" s="3" t="s">
        <v>1247</v>
      </c>
      <c r="F648" s="3" t="s">
        <v>1305</v>
      </c>
      <c r="G648" s="3" t="s">
        <v>1306</v>
      </c>
      <c r="H648" s="2" t="s">
        <v>1250</v>
      </c>
      <c r="I648" s="4"/>
      <c r="J648" s="4"/>
      <c r="K648" s="4"/>
      <c r="L648" s="5"/>
      <c r="M648" s="3"/>
    </row>
    <row r="649" spans="1:13" ht="28.8" x14ac:dyDescent="0.3">
      <c r="A649" s="2">
        <v>648</v>
      </c>
      <c r="B649" s="2" t="s">
        <v>1055</v>
      </c>
      <c r="C649" s="2" t="s">
        <v>1073</v>
      </c>
      <c r="D649" s="2">
        <v>1357</v>
      </c>
      <c r="E649" s="3" t="s">
        <v>1247</v>
      </c>
      <c r="F649" s="3" t="s">
        <v>1307</v>
      </c>
      <c r="G649" s="3" t="s">
        <v>1308</v>
      </c>
      <c r="H649" s="2" t="s">
        <v>1250</v>
      </c>
      <c r="I649" s="4"/>
      <c r="J649" s="4"/>
      <c r="K649" s="4"/>
      <c r="L649" s="5"/>
      <c r="M649" s="3"/>
    </row>
    <row r="650" spans="1:13" x14ac:dyDescent="0.3">
      <c r="A650" s="2">
        <v>649</v>
      </c>
      <c r="B650" s="2" t="s">
        <v>1055</v>
      </c>
      <c r="C650" s="2" t="s">
        <v>1073</v>
      </c>
      <c r="D650" s="2">
        <v>1369</v>
      </c>
      <c r="E650" s="3" t="s">
        <v>1247</v>
      </c>
      <c r="F650" s="3" t="s">
        <v>1309</v>
      </c>
      <c r="G650" s="3" t="s">
        <v>1310</v>
      </c>
      <c r="H650" s="2"/>
      <c r="I650" s="4"/>
      <c r="J650" s="4"/>
      <c r="K650" s="4"/>
      <c r="L650" s="5"/>
      <c r="M650" s="3"/>
    </row>
    <row r="651" spans="1:13" x14ac:dyDescent="0.3">
      <c r="A651" s="2">
        <v>650</v>
      </c>
      <c r="B651" s="2" t="s">
        <v>1055</v>
      </c>
      <c r="C651" s="2" t="s">
        <v>1073</v>
      </c>
      <c r="D651" s="2">
        <v>1373</v>
      </c>
      <c r="E651" s="3" t="s">
        <v>1247</v>
      </c>
      <c r="F651" s="3" t="s">
        <v>1311</v>
      </c>
      <c r="G651" s="3" t="s">
        <v>1312</v>
      </c>
      <c r="H651" s="2" t="s">
        <v>1250</v>
      </c>
      <c r="I651" s="4"/>
      <c r="J651" s="4"/>
      <c r="K651" s="4"/>
      <c r="L651" s="5"/>
      <c r="M651" s="3"/>
    </row>
    <row r="652" spans="1:13" x14ac:dyDescent="0.3">
      <c r="A652" s="2">
        <v>651</v>
      </c>
      <c r="B652" s="2" t="s">
        <v>1055</v>
      </c>
      <c r="C652" s="2" t="s">
        <v>1073</v>
      </c>
      <c r="D652" s="2">
        <v>1380</v>
      </c>
      <c r="E652" s="3" t="s">
        <v>1247</v>
      </c>
      <c r="F652" s="3" t="s">
        <v>1313</v>
      </c>
      <c r="G652" s="3" t="s">
        <v>1314</v>
      </c>
      <c r="H652" s="2" t="s">
        <v>1250</v>
      </c>
      <c r="I652" s="4"/>
      <c r="J652" s="4"/>
      <c r="K652" s="4"/>
      <c r="L652" s="5"/>
      <c r="M652" s="3"/>
    </row>
    <row r="653" spans="1:13" ht="28.8" x14ac:dyDescent="0.3">
      <c r="A653" s="2">
        <v>652</v>
      </c>
      <c r="B653" s="2" t="s">
        <v>1055</v>
      </c>
      <c r="C653" s="2" t="s">
        <v>1073</v>
      </c>
      <c r="D653" s="2">
        <v>1437</v>
      </c>
      <c r="E653" s="3" t="s">
        <v>1315</v>
      </c>
      <c r="F653" s="3" t="s">
        <v>1316</v>
      </c>
      <c r="G653" s="3" t="s">
        <v>1317</v>
      </c>
      <c r="H653" s="2" t="s">
        <v>1318</v>
      </c>
      <c r="I653" s="4"/>
      <c r="J653" s="4"/>
      <c r="K653" s="4"/>
      <c r="L653" s="5"/>
      <c r="M653" s="3"/>
    </row>
    <row r="654" spans="1:13" x14ac:dyDescent="0.3">
      <c r="A654" s="2">
        <v>653</v>
      </c>
      <c r="B654" s="2" t="s">
        <v>1055</v>
      </c>
      <c r="C654" s="2" t="s">
        <v>1073</v>
      </c>
      <c r="D654" s="2">
        <v>1450</v>
      </c>
      <c r="E654" s="3" t="s">
        <v>1315</v>
      </c>
      <c r="F654" s="3" t="s">
        <v>1319</v>
      </c>
      <c r="G654" s="3" t="s">
        <v>1320</v>
      </c>
      <c r="H654" s="2" t="s">
        <v>1318</v>
      </c>
      <c r="I654" s="4"/>
      <c r="J654" s="4"/>
      <c r="K654" s="4"/>
      <c r="L654" s="5"/>
      <c r="M654" s="3"/>
    </row>
    <row r="655" spans="1:13" ht="28.8" x14ac:dyDescent="0.3">
      <c r="A655" s="2">
        <v>654</v>
      </c>
      <c r="B655" s="2" t="s">
        <v>1055</v>
      </c>
      <c r="C655" s="2" t="s">
        <v>1073</v>
      </c>
      <c r="D655" s="2">
        <v>1457</v>
      </c>
      <c r="E655" s="3" t="s">
        <v>1315</v>
      </c>
      <c r="F655" s="3" t="s">
        <v>1321</v>
      </c>
      <c r="G655" s="3" t="s">
        <v>1322</v>
      </c>
      <c r="H655" s="2" t="s">
        <v>1318</v>
      </c>
      <c r="I655" s="4"/>
      <c r="J655" s="4"/>
      <c r="K655" s="4"/>
      <c r="L655" s="5"/>
      <c r="M655" s="3"/>
    </row>
    <row r="656" spans="1:13" x14ac:dyDescent="0.3">
      <c r="A656" s="2">
        <v>655</v>
      </c>
      <c r="B656" s="2" t="s">
        <v>1055</v>
      </c>
      <c r="C656" s="2" t="s">
        <v>1073</v>
      </c>
      <c r="D656" s="2">
        <v>1465</v>
      </c>
      <c r="E656" s="3" t="s">
        <v>1315</v>
      </c>
      <c r="F656" s="3" t="s">
        <v>1323</v>
      </c>
      <c r="G656" s="3" t="s">
        <v>1324</v>
      </c>
      <c r="H656" s="2" t="s">
        <v>1318</v>
      </c>
      <c r="I656" s="4"/>
      <c r="J656" s="4"/>
      <c r="K656" s="4"/>
      <c r="L656" s="5"/>
      <c r="M656" s="3"/>
    </row>
    <row r="657" spans="1:13" x14ac:dyDescent="0.3">
      <c r="A657" s="2">
        <v>656</v>
      </c>
      <c r="B657" s="2" t="s">
        <v>1055</v>
      </c>
      <c r="C657" s="2" t="s">
        <v>1073</v>
      </c>
      <c r="D657" s="2">
        <v>1473</v>
      </c>
      <c r="E657" s="3" t="s">
        <v>1315</v>
      </c>
      <c r="F657" s="3" t="s">
        <v>1325</v>
      </c>
      <c r="G657" s="3" t="s">
        <v>1326</v>
      </c>
      <c r="H657" s="2" t="s">
        <v>1318</v>
      </c>
      <c r="I657" s="4"/>
      <c r="J657" s="4"/>
      <c r="K657" s="4"/>
      <c r="L657" s="5"/>
      <c r="M657" s="3"/>
    </row>
    <row r="658" spans="1:13" x14ac:dyDescent="0.3">
      <c r="A658" s="2">
        <v>657</v>
      </c>
      <c r="B658" s="2" t="s">
        <v>1055</v>
      </c>
      <c r="C658" s="2" t="s">
        <v>1073</v>
      </c>
      <c r="D658" s="2">
        <v>1481</v>
      </c>
      <c r="E658" s="3" t="s">
        <v>1315</v>
      </c>
      <c r="F658" s="3" t="s">
        <v>1327</v>
      </c>
      <c r="G658" s="3" t="s">
        <v>1328</v>
      </c>
      <c r="H658" s="2" t="s">
        <v>1318</v>
      </c>
      <c r="I658" s="4"/>
      <c r="J658" s="4"/>
      <c r="K658" s="4"/>
      <c r="L658" s="5"/>
      <c r="M658" s="3"/>
    </row>
    <row r="659" spans="1:13" x14ac:dyDescent="0.3">
      <c r="A659" s="2">
        <v>658</v>
      </c>
      <c r="B659" s="2" t="s">
        <v>1055</v>
      </c>
      <c r="C659" s="2" t="s">
        <v>1073</v>
      </c>
      <c r="D659" s="2">
        <v>1489</v>
      </c>
      <c r="E659" s="3" t="s">
        <v>1315</v>
      </c>
      <c r="F659" s="3" t="s">
        <v>1329</v>
      </c>
      <c r="G659" s="3" t="s">
        <v>1330</v>
      </c>
      <c r="H659" s="2" t="s">
        <v>1318</v>
      </c>
      <c r="I659" s="4"/>
      <c r="J659" s="4"/>
      <c r="K659" s="4"/>
      <c r="L659" s="5"/>
      <c r="M659" s="3"/>
    </row>
    <row r="660" spans="1:13" x14ac:dyDescent="0.3">
      <c r="A660" s="2">
        <v>659</v>
      </c>
      <c r="B660" s="2" t="s">
        <v>1055</v>
      </c>
      <c r="C660" s="2" t="s">
        <v>1073</v>
      </c>
      <c r="D660" s="2">
        <v>1498</v>
      </c>
      <c r="E660" s="3" t="s">
        <v>1315</v>
      </c>
      <c r="F660" s="3" t="s">
        <v>1331</v>
      </c>
      <c r="G660" s="3" t="s">
        <v>1332</v>
      </c>
      <c r="H660" s="2" t="s">
        <v>1318</v>
      </c>
      <c r="I660" s="4"/>
      <c r="J660" s="4"/>
      <c r="K660" s="4"/>
      <c r="L660" s="5"/>
      <c r="M660" s="3"/>
    </row>
    <row r="661" spans="1:13" x14ac:dyDescent="0.3">
      <c r="A661" s="2">
        <v>660</v>
      </c>
      <c r="B661" s="2" t="s">
        <v>1055</v>
      </c>
      <c r="C661" s="2" t="s">
        <v>1073</v>
      </c>
      <c r="D661" s="2">
        <v>1507</v>
      </c>
      <c r="E661" s="3" t="s">
        <v>1315</v>
      </c>
      <c r="F661" s="3" t="s">
        <v>1333</v>
      </c>
      <c r="G661" s="3" t="s">
        <v>1334</v>
      </c>
      <c r="H661" s="2" t="s">
        <v>1318</v>
      </c>
      <c r="I661" s="4"/>
      <c r="J661" s="4"/>
      <c r="K661" s="4"/>
      <c r="L661" s="5"/>
      <c r="M661" s="3"/>
    </row>
    <row r="662" spans="1:13" x14ac:dyDescent="0.3">
      <c r="A662" s="2">
        <v>661</v>
      </c>
      <c r="B662" s="2" t="s">
        <v>1055</v>
      </c>
      <c r="C662" s="2" t="s">
        <v>1073</v>
      </c>
      <c r="D662" s="2">
        <v>1524</v>
      </c>
      <c r="E662" s="3" t="s">
        <v>1315</v>
      </c>
      <c r="F662" s="3" t="s">
        <v>1335</v>
      </c>
      <c r="G662" s="3" t="s">
        <v>1336</v>
      </c>
      <c r="H662" s="2" t="s">
        <v>1318</v>
      </c>
      <c r="I662" s="4"/>
      <c r="J662" s="4"/>
      <c r="K662" s="4"/>
      <c r="L662" s="5"/>
      <c r="M662" s="3"/>
    </row>
    <row r="663" spans="1:13" x14ac:dyDescent="0.3">
      <c r="A663" s="2">
        <v>662</v>
      </c>
      <c r="B663" s="2" t="s">
        <v>1055</v>
      </c>
      <c r="C663" s="2" t="s">
        <v>1073</v>
      </c>
      <c r="D663" s="2">
        <v>1524</v>
      </c>
      <c r="E663" s="3" t="s">
        <v>1315</v>
      </c>
      <c r="F663" s="3" t="s">
        <v>1337</v>
      </c>
      <c r="G663" s="3" t="s">
        <v>1338</v>
      </c>
      <c r="H663" s="2" t="s">
        <v>1318</v>
      </c>
      <c r="I663" s="4"/>
      <c r="J663" s="4"/>
      <c r="K663" s="4"/>
      <c r="L663" s="5"/>
      <c r="M663" s="3"/>
    </row>
    <row r="664" spans="1:13" x14ac:dyDescent="0.3">
      <c r="A664" s="2">
        <v>663</v>
      </c>
      <c r="B664" s="2" t="s">
        <v>1055</v>
      </c>
      <c r="C664" s="2" t="s">
        <v>1073</v>
      </c>
      <c r="D664" s="2">
        <v>1524</v>
      </c>
      <c r="E664" s="3" t="s">
        <v>1315</v>
      </c>
      <c r="F664" s="3" t="s">
        <v>1339</v>
      </c>
      <c r="G664" s="3" t="s">
        <v>1340</v>
      </c>
      <c r="H664" s="2" t="s">
        <v>1318</v>
      </c>
      <c r="I664" s="4"/>
      <c r="J664" s="4"/>
      <c r="K664" s="4"/>
      <c r="L664" s="5"/>
      <c r="M664" s="3"/>
    </row>
    <row r="665" spans="1:13" x14ac:dyDescent="0.3">
      <c r="A665" s="2">
        <v>664</v>
      </c>
      <c r="B665" s="2" t="s">
        <v>1055</v>
      </c>
      <c r="C665" s="2" t="s">
        <v>1073</v>
      </c>
      <c r="D665" s="2">
        <v>1536</v>
      </c>
      <c r="E665" s="3" t="s">
        <v>1315</v>
      </c>
      <c r="F665" s="3" t="s">
        <v>1341</v>
      </c>
      <c r="G665" s="3" t="s">
        <v>1342</v>
      </c>
      <c r="H665" s="2" t="s">
        <v>1318</v>
      </c>
      <c r="I665" s="4"/>
      <c r="J665" s="4"/>
      <c r="K665" s="4"/>
      <c r="L665" s="5"/>
      <c r="M665" s="3"/>
    </row>
    <row r="666" spans="1:13" x14ac:dyDescent="0.3">
      <c r="A666" s="2">
        <v>665</v>
      </c>
      <c r="B666" s="2" t="s">
        <v>1055</v>
      </c>
      <c r="C666" s="2" t="s">
        <v>1073</v>
      </c>
      <c r="D666" s="2">
        <v>1536</v>
      </c>
      <c r="E666" s="3" t="s">
        <v>1315</v>
      </c>
      <c r="F666" s="3" t="s">
        <v>1343</v>
      </c>
      <c r="G666" s="3" t="s">
        <v>1344</v>
      </c>
      <c r="H666" s="2" t="s">
        <v>1318</v>
      </c>
      <c r="I666" s="4"/>
      <c r="J666" s="4"/>
      <c r="K666" s="4"/>
      <c r="L666" s="5"/>
      <c r="M666" s="3"/>
    </row>
    <row r="667" spans="1:13" x14ac:dyDescent="0.3">
      <c r="A667" s="2">
        <v>666</v>
      </c>
      <c r="B667" s="2" t="s">
        <v>1055</v>
      </c>
      <c r="C667" s="2" t="s">
        <v>1073</v>
      </c>
      <c r="D667" s="2">
        <v>1536</v>
      </c>
      <c r="E667" s="3" t="s">
        <v>1315</v>
      </c>
      <c r="F667" s="3" t="s">
        <v>1345</v>
      </c>
      <c r="G667" s="3" t="s">
        <v>1346</v>
      </c>
      <c r="H667" s="2" t="s">
        <v>1318</v>
      </c>
      <c r="I667" s="4"/>
      <c r="J667" s="4"/>
      <c r="K667" s="4"/>
      <c r="L667" s="5"/>
      <c r="M667" s="3"/>
    </row>
    <row r="668" spans="1:13" x14ac:dyDescent="0.3">
      <c r="A668" s="2">
        <v>667</v>
      </c>
      <c r="B668" s="2" t="s">
        <v>1055</v>
      </c>
      <c r="C668" s="2" t="s">
        <v>1073</v>
      </c>
      <c r="D668" s="2">
        <v>1536</v>
      </c>
      <c r="E668" s="3" t="s">
        <v>1315</v>
      </c>
      <c r="F668" s="3" t="s">
        <v>1347</v>
      </c>
      <c r="G668" s="3" t="s">
        <v>1348</v>
      </c>
      <c r="H668" s="2" t="s">
        <v>1318</v>
      </c>
      <c r="I668" s="4"/>
      <c r="J668" s="4"/>
      <c r="K668" s="4"/>
      <c r="L668" s="5"/>
      <c r="M668" s="3"/>
    </row>
    <row r="669" spans="1:13" x14ac:dyDescent="0.3">
      <c r="A669" s="2">
        <v>668</v>
      </c>
      <c r="B669" s="2" t="s">
        <v>1055</v>
      </c>
      <c r="C669" s="2" t="s">
        <v>1073</v>
      </c>
      <c r="D669" s="2">
        <v>1545</v>
      </c>
      <c r="E669" s="3" t="s">
        <v>1315</v>
      </c>
      <c r="F669" s="3" t="s">
        <v>1349</v>
      </c>
      <c r="G669" s="3" t="s">
        <v>1350</v>
      </c>
      <c r="H669" s="2" t="s">
        <v>1318</v>
      </c>
      <c r="I669" s="4"/>
      <c r="J669" s="4"/>
      <c r="K669" s="4"/>
      <c r="L669" s="5"/>
      <c r="M669" s="3"/>
    </row>
    <row r="670" spans="1:13" x14ac:dyDescent="0.3">
      <c r="A670" s="2">
        <v>669</v>
      </c>
      <c r="B670" s="2" t="s">
        <v>1055</v>
      </c>
      <c r="C670" s="2" t="s">
        <v>1073</v>
      </c>
      <c r="D670" s="2">
        <v>1556</v>
      </c>
      <c r="E670" s="3" t="s">
        <v>1315</v>
      </c>
      <c r="F670" s="3" t="s">
        <v>1351</v>
      </c>
      <c r="G670" s="3" t="s">
        <v>1352</v>
      </c>
      <c r="H670" s="2"/>
      <c r="I670" s="4"/>
      <c r="J670" s="4"/>
      <c r="K670" s="4"/>
      <c r="L670" s="5"/>
      <c r="M670" s="3"/>
    </row>
    <row r="671" spans="1:13" x14ac:dyDescent="0.3">
      <c r="A671" s="2">
        <v>670</v>
      </c>
      <c r="B671" s="2" t="s">
        <v>1055</v>
      </c>
      <c r="C671" s="2" t="s">
        <v>1073</v>
      </c>
      <c r="D671" s="2">
        <v>1563</v>
      </c>
      <c r="E671" s="3" t="s">
        <v>1315</v>
      </c>
      <c r="F671" s="3" t="s">
        <v>1353</v>
      </c>
      <c r="G671" s="3" t="s">
        <v>1354</v>
      </c>
      <c r="H671" s="2" t="s">
        <v>1318</v>
      </c>
      <c r="I671" s="4"/>
      <c r="J671" s="4"/>
      <c r="K671" s="4"/>
      <c r="L671" s="5"/>
      <c r="M671" s="3"/>
    </row>
    <row r="672" spans="1:13" x14ac:dyDescent="0.3">
      <c r="A672" s="2">
        <v>671</v>
      </c>
      <c r="B672" s="2" t="s">
        <v>1055</v>
      </c>
      <c r="C672" s="2" t="s">
        <v>1073</v>
      </c>
      <c r="D672" s="2">
        <v>1563</v>
      </c>
      <c r="E672" s="3" t="s">
        <v>1315</v>
      </c>
      <c r="F672" s="3" t="s">
        <v>1355</v>
      </c>
      <c r="G672" s="3" t="s">
        <v>1356</v>
      </c>
      <c r="H672" s="2" t="s">
        <v>1318</v>
      </c>
      <c r="I672" s="4"/>
      <c r="J672" s="4"/>
      <c r="K672" s="4"/>
      <c r="L672" s="5"/>
      <c r="M672" s="3"/>
    </row>
    <row r="673" spans="1:13" ht="28.8" x14ac:dyDescent="0.3">
      <c r="A673" s="2">
        <v>672</v>
      </c>
      <c r="B673" s="2" t="s">
        <v>1055</v>
      </c>
      <c r="C673" s="2" t="s">
        <v>1073</v>
      </c>
      <c r="D673" s="2">
        <v>1577</v>
      </c>
      <c r="E673" s="3" t="s">
        <v>1315</v>
      </c>
      <c r="F673" s="3" t="s">
        <v>1357</v>
      </c>
      <c r="G673" s="3" t="s">
        <v>1358</v>
      </c>
      <c r="H673" s="2" t="s">
        <v>1318</v>
      </c>
      <c r="I673" s="4"/>
      <c r="J673" s="4"/>
      <c r="K673" s="4"/>
      <c r="L673" s="5"/>
      <c r="M673" s="3"/>
    </row>
    <row r="674" spans="1:13" x14ac:dyDescent="0.3">
      <c r="A674" s="2">
        <v>673</v>
      </c>
      <c r="B674" s="2" t="s">
        <v>1055</v>
      </c>
      <c r="C674" s="2" t="s">
        <v>1073</v>
      </c>
      <c r="D674" s="2">
        <v>1586</v>
      </c>
      <c r="E674" s="3" t="s">
        <v>1315</v>
      </c>
      <c r="F674" s="3" t="s">
        <v>1359</v>
      </c>
      <c r="G674" s="3" t="s">
        <v>1360</v>
      </c>
      <c r="H674" s="2" t="s">
        <v>1318</v>
      </c>
      <c r="I674" s="4"/>
      <c r="J674" s="4"/>
      <c r="K674" s="4"/>
      <c r="L674" s="5"/>
      <c r="M674" s="3"/>
    </row>
    <row r="675" spans="1:13" x14ac:dyDescent="0.3">
      <c r="A675" s="2">
        <v>674</v>
      </c>
      <c r="B675" s="2" t="s">
        <v>1055</v>
      </c>
      <c r="C675" s="2" t="s">
        <v>1073</v>
      </c>
      <c r="D675" s="2">
        <v>1604</v>
      </c>
      <c r="E675" s="3" t="s">
        <v>1315</v>
      </c>
      <c r="F675" s="3" t="s">
        <v>1361</v>
      </c>
      <c r="G675" s="3" t="s">
        <v>1362</v>
      </c>
      <c r="H675" s="2"/>
      <c r="I675" s="4"/>
      <c r="J675" s="4"/>
      <c r="K675" s="4"/>
      <c r="L675" s="5"/>
      <c r="M675" s="3"/>
    </row>
    <row r="676" spans="1:13" x14ac:dyDescent="0.3">
      <c r="A676" s="2">
        <v>675</v>
      </c>
      <c r="B676" s="2" t="s">
        <v>1055</v>
      </c>
      <c r="C676" s="2" t="s">
        <v>1073</v>
      </c>
      <c r="D676" s="2">
        <v>1610</v>
      </c>
      <c r="E676" s="3" t="s">
        <v>1315</v>
      </c>
      <c r="F676" s="3" t="s">
        <v>1363</v>
      </c>
      <c r="G676" s="3" t="s">
        <v>1364</v>
      </c>
      <c r="H676" s="2" t="s">
        <v>1318</v>
      </c>
      <c r="I676" s="4"/>
      <c r="J676" s="4"/>
      <c r="K676" s="4"/>
      <c r="L676" s="5"/>
      <c r="M676" s="3"/>
    </row>
    <row r="677" spans="1:13" x14ac:dyDescent="0.3">
      <c r="A677" s="2">
        <v>676</v>
      </c>
      <c r="B677" s="2" t="s">
        <v>1055</v>
      </c>
      <c r="C677" s="2" t="s">
        <v>1073</v>
      </c>
      <c r="D677" s="2">
        <v>1620</v>
      </c>
      <c r="E677" s="3" t="s">
        <v>1315</v>
      </c>
      <c r="F677" s="3" t="s">
        <v>1365</v>
      </c>
      <c r="G677" s="3" t="s">
        <v>1366</v>
      </c>
      <c r="H677" s="2" t="s">
        <v>1318</v>
      </c>
      <c r="I677" s="4"/>
      <c r="J677" s="4"/>
      <c r="K677" s="4"/>
      <c r="L677" s="5"/>
      <c r="M677" s="3"/>
    </row>
    <row r="678" spans="1:13" x14ac:dyDescent="0.3">
      <c r="A678" s="2">
        <v>677</v>
      </c>
      <c r="B678" s="2" t="s">
        <v>1055</v>
      </c>
      <c r="C678" s="2" t="s">
        <v>1073</v>
      </c>
      <c r="D678" s="2">
        <v>1620</v>
      </c>
      <c r="E678" s="3" t="s">
        <v>1315</v>
      </c>
      <c r="F678" s="3" t="s">
        <v>1367</v>
      </c>
      <c r="G678" s="3" t="s">
        <v>1368</v>
      </c>
      <c r="H678" s="2" t="s">
        <v>1318</v>
      </c>
      <c r="I678" s="4"/>
      <c r="J678" s="4"/>
      <c r="K678" s="4"/>
      <c r="L678" s="5"/>
      <c r="M678" s="3"/>
    </row>
    <row r="679" spans="1:13" x14ac:dyDescent="0.3">
      <c r="A679" s="2">
        <v>678</v>
      </c>
      <c r="B679" s="2" t="s">
        <v>1055</v>
      </c>
      <c r="C679" s="2" t="s">
        <v>1073</v>
      </c>
      <c r="D679" s="2">
        <v>1629</v>
      </c>
      <c r="E679" s="3" t="s">
        <v>1315</v>
      </c>
      <c r="F679" s="3" t="s">
        <v>1369</v>
      </c>
      <c r="G679" s="3" t="s">
        <v>1370</v>
      </c>
      <c r="H679" s="2" t="s">
        <v>1318</v>
      </c>
      <c r="I679" s="4"/>
      <c r="J679" s="4"/>
      <c r="K679" s="4"/>
      <c r="L679" s="5"/>
      <c r="M679" s="3"/>
    </row>
    <row r="680" spans="1:13" x14ac:dyDescent="0.3">
      <c r="A680" s="2">
        <v>679</v>
      </c>
      <c r="B680" s="2" t="s">
        <v>1055</v>
      </c>
      <c r="C680" s="2" t="s">
        <v>1073</v>
      </c>
      <c r="D680" s="2">
        <v>1638</v>
      </c>
      <c r="E680" s="3" t="s">
        <v>1315</v>
      </c>
      <c r="F680" s="3" t="s">
        <v>1371</v>
      </c>
      <c r="G680" s="3" t="s">
        <v>1372</v>
      </c>
      <c r="H680" s="2"/>
      <c r="I680" s="4"/>
      <c r="J680" s="4"/>
      <c r="K680" s="4"/>
      <c r="L680" s="5"/>
      <c r="M680" s="3"/>
    </row>
    <row r="681" spans="1:13" ht="28.8" x14ac:dyDescent="0.3">
      <c r="A681" s="2">
        <v>680</v>
      </c>
      <c r="B681" s="2" t="s">
        <v>1055</v>
      </c>
      <c r="C681" s="2" t="s">
        <v>1073</v>
      </c>
      <c r="D681" s="2">
        <v>1644</v>
      </c>
      <c r="E681" s="3" t="s">
        <v>1315</v>
      </c>
      <c r="F681" s="3" t="s">
        <v>1373</v>
      </c>
      <c r="G681" s="3" t="s">
        <v>1374</v>
      </c>
      <c r="H681" s="2" t="s">
        <v>1318</v>
      </c>
      <c r="I681" s="4"/>
      <c r="J681" s="4"/>
      <c r="K681" s="4"/>
      <c r="L681" s="5"/>
      <c r="M681" s="3"/>
    </row>
    <row r="682" spans="1:13" x14ac:dyDescent="0.3">
      <c r="A682" s="2">
        <v>681</v>
      </c>
      <c r="B682" s="2" t="s">
        <v>1055</v>
      </c>
      <c r="C682" s="2" t="s">
        <v>1073</v>
      </c>
      <c r="D682" s="2">
        <v>1658</v>
      </c>
      <c r="E682" s="3" t="s">
        <v>1315</v>
      </c>
      <c r="F682" s="3" t="s">
        <v>1375</v>
      </c>
      <c r="G682" s="3" t="s">
        <v>1376</v>
      </c>
      <c r="H682" s="2" t="s">
        <v>1318</v>
      </c>
      <c r="I682" s="4"/>
      <c r="J682" s="4"/>
      <c r="K682" s="4"/>
      <c r="L682" s="5"/>
      <c r="M682" s="3"/>
    </row>
    <row r="683" spans="1:13" ht="28.8" x14ac:dyDescent="0.3">
      <c r="A683" s="2">
        <v>682</v>
      </c>
      <c r="B683" s="2" t="s">
        <v>1055</v>
      </c>
      <c r="C683" s="2" t="s">
        <v>1073</v>
      </c>
      <c r="D683" s="2">
        <v>1658</v>
      </c>
      <c r="E683" s="3" t="s">
        <v>1315</v>
      </c>
      <c r="F683" s="3" t="s">
        <v>1377</v>
      </c>
      <c r="G683" s="3" t="s">
        <v>1378</v>
      </c>
      <c r="H683" s="2" t="s">
        <v>1318</v>
      </c>
      <c r="I683" s="4"/>
      <c r="J683" s="4"/>
      <c r="K683" s="4"/>
      <c r="L683" s="5"/>
      <c r="M683" s="3"/>
    </row>
    <row r="684" spans="1:13" x14ac:dyDescent="0.3">
      <c r="A684" s="2">
        <v>683</v>
      </c>
      <c r="B684" s="2" t="s">
        <v>1055</v>
      </c>
      <c r="C684" s="2" t="s">
        <v>1073</v>
      </c>
      <c r="D684" s="2">
        <v>1671</v>
      </c>
      <c r="E684" s="3" t="s">
        <v>1315</v>
      </c>
      <c r="F684" s="3" t="s">
        <v>1379</v>
      </c>
      <c r="G684" s="3" t="s">
        <v>1380</v>
      </c>
      <c r="H684" s="2" t="s">
        <v>1318</v>
      </c>
      <c r="I684" s="4"/>
      <c r="J684" s="4"/>
      <c r="K684" s="4"/>
      <c r="L684" s="5"/>
      <c r="M684" s="3"/>
    </row>
    <row r="685" spans="1:13" ht="28.8" x14ac:dyDescent="0.3">
      <c r="A685" s="2">
        <v>684</v>
      </c>
      <c r="B685" s="2" t="s">
        <v>1055</v>
      </c>
      <c r="C685" s="2" t="s">
        <v>1073</v>
      </c>
      <c r="D685" s="2">
        <v>1699</v>
      </c>
      <c r="E685" s="3" t="s">
        <v>1315</v>
      </c>
      <c r="F685" s="3" t="s">
        <v>1381</v>
      </c>
      <c r="G685" s="3" t="s">
        <v>1382</v>
      </c>
      <c r="H685" s="2" t="s">
        <v>1318</v>
      </c>
      <c r="I685" s="4"/>
      <c r="J685" s="4"/>
      <c r="K685" s="4"/>
      <c r="L685" s="5"/>
      <c r="M685" s="3"/>
    </row>
    <row r="686" spans="1:13" x14ac:dyDescent="0.3">
      <c r="A686" s="2">
        <v>685</v>
      </c>
      <c r="B686" s="2" t="s">
        <v>1055</v>
      </c>
      <c r="C686" s="2" t="s">
        <v>1073</v>
      </c>
      <c r="D686" s="2">
        <v>1708</v>
      </c>
      <c r="E686" s="3" t="s">
        <v>1315</v>
      </c>
      <c r="F686" s="3" t="s">
        <v>1383</v>
      </c>
      <c r="G686" s="3" t="s">
        <v>1384</v>
      </c>
      <c r="H686" s="2" t="s">
        <v>1318</v>
      </c>
      <c r="I686" s="4"/>
      <c r="J686" s="4"/>
      <c r="K686" s="4"/>
      <c r="L686" s="5"/>
      <c r="M686" s="3"/>
    </row>
    <row r="687" spans="1:13" x14ac:dyDescent="0.3">
      <c r="A687" s="2">
        <v>686</v>
      </c>
      <c r="B687" s="2" t="s">
        <v>1055</v>
      </c>
      <c r="C687" s="2" t="s">
        <v>1073</v>
      </c>
      <c r="D687" s="2">
        <v>1718</v>
      </c>
      <c r="E687" s="3" t="s">
        <v>1315</v>
      </c>
      <c r="F687" s="3" t="s">
        <v>1385</v>
      </c>
      <c r="G687" s="3" t="s">
        <v>1386</v>
      </c>
      <c r="H687" s="2" t="s">
        <v>1318</v>
      </c>
      <c r="I687" s="4"/>
      <c r="J687" s="4"/>
      <c r="K687" s="4"/>
      <c r="L687" s="5"/>
      <c r="M687" s="3"/>
    </row>
    <row r="688" spans="1:13" x14ac:dyDescent="0.3">
      <c r="A688" s="2">
        <v>687</v>
      </c>
      <c r="B688" s="2" t="s">
        <v>1055</v>
      </c>
      <c r="C688" s="2" t="s">
        <v>1073</v>
      </c>
      <c r="D688" s="2">
        <v>1728</v>
      </c>
      <c r="E688" s="3" t="s">
        <v>1315</v>
      </c>
      <c r="F688" s="3" t="s">
        <v>1387</v>
      </c>
      <c r="G688" s="3" t="s">
        <v>1388</v>
      </c>
      <c r="H688" s="2" t="s">
        <v>1318</v>
      </c>
      <c r="I688" s="4"/>
      <c r="J688" s="4"/>
      <c r="K688" s="4"/>
      <c r="L688" s="5"/>
      <c r="M688" s="3"/>
    </row>
    <row r="689" spans="1:13" x14ac:dyDescent="0.3">
      <c r="A689" s="2">
        <v>688</v>
      </c>
      <c r="B689" s="2" t="s">
        <v>1055</v>
      </c>
      <c r="C689" s="2" t="s">
        <v>1073</v>
      </c>
      <c r="D689" s="2">
        <v>1728</v>
      </c>
      <c r="E689" s="3" t="s">
        <v>1315</v>
      </c>
      <c r="F689" s="3" t="s">
        <v>1389</v>
      </c>
      <c r="G689" s="3" t="s">
        <v>1390</v>
      </c>
      <c r="H689" s="2" t="s">
        <v>1318</v>
      </c>
      <c r="I689" s="4"/>
      <c r="J689" s="4"/>
      <c r="K689" s="4"/>
      <c r="L689" s="5"/>
      <c r="M689" s="3"/>
    </row>
    <row r="690" spans="1:13" x14ac:dyDescent="0.3">
      <c r="A690" s="2">
        <v>689</v>
      </c>
      <c r="B690" s="2" t="s">
        <v>1055</v>
      </c>
      <c r="C690" s="2" t="s">
        <v>1073</v>
      </c>
      <c r="D690" s="2">
        <v>1742</v>
      </c>
      <c r="E690" s="3" t="s">
        <v>1315</v>
      </c>
      <c r="F690" s="3" t="s">
        <v>1391</v>
      </c>
      <c r="G690" s="3" t="s">
        <v>1392</v>
      </c>
      <c r="H690" s="2" t="s">
        <v>1318</v>
      </c>
      <c r="I690" s="4"/>
      <c r="J690" s="4"/>
      <c r="K690" s="4"/>
      <c r="L690" s="5"/>
      <c r="M690" s="3"/>
    </row>
    <row r="691" spans="1:13" x14ac:dyDescent="0.3">
      <c r="A691" s="2">
        <v>690</v>
      </c>
      <c r="B691" s="2" t="s">
        <v>1055</v>
      </c>
      <c r="C691" s="2" t="s">
        <v>1073</v>
      </c>
      <c r="D691" s="2">
        <v>1755</v>
      </c>
      <c r="E691" s="3" t="s">
        <v>1315</v>
      </c>
      <c r="F691" s="3" t="s">
        <v>1393</v>
      </c>
      <c r="G691" s="3" t="s">
        <v>1394</v>
      </c>
      <c r="H691" s="2" t="s">
        <v>1318</v>
      </c>
      <c r="I691" s="4"/>
      <c r="J691" s="4"/>
      <c r="K691" s="4"/>
      <c r="L691" s="5"/>
      <c r="M691" s="3"/>
    </row>
    <row r="692" spans="1:13" x14ac:dyDescent="0.3">
      <c r="A692" s="2">
        <v>691</v>
      </c>
      <c r="B692" s="2" t="s">
        <v>1055</v>
      </c>
      <c r="C692" s="2" t="s">
        <v>1073</v>
      </c>
      <c r="D692" s="2">
        <v>1769</v>
      </c>
      <c r="E692" s="3" t="s">
        <v>1315</v>
      </c>
      <c r="F692" s="3" t="s">
        <v>1395</v>
      </c>
      <c r="G692" s="3" t="s">
        <v>1396</v>
      </c>
      <c r="H692" s="2" t="s">
        <v>1318</v>
      </c>
      <c r="I692" s="4"/>
      <c r="J692" s="4"/>
      <c r="K692" s="4"/>
      <c r="L692" s="5"/>
      <c r="M692" s="3"/>
    </row>
    <row r="693" spans="1:13" x14ac:dyDescent="0.3">
      <c r="A693" s="2">
        <v>692</v>
      </c>
      <c r="B693" s="2" t="s">
        <v>1055</v>
      </c>
      <c r="C693" s="2" t="s">
        <v>1073</v>
      </c>
      <c r="D693" s="2">
        <v>1786</v>
      </c>
      <c r="E693" s="3" t="s">
        <v>1315</v>
      </c>
      <c r="F693" s="3" t="s">
        <v>1397</v>
      </c>
      <c r="G693" s="3" t="s">
        <v>1398</v>
      </c>
      <c r="H693" s="2"/>
      <c r="I693" s="4"/>
      <c r="J693" s="4"/>
      <c r="K693" s="4"/>
      <c r="L693" s="5"/>
      <c r="M693" s="3"/>
    </row>
    <row r="694" spans="1:13" x14ac:dyDescent="0.3">
      <c r="A694" s="2">
        <v>693</v>
      </c>
      <c r="B694" s="2" t="s">
        <v>1055</v>
      </c>
      <c r="C694" s="2" t="s">
        <v>1073</v>
      </c>
      <c r="D694" s="2">
        <v>1786</v>
      </c>
      <c r="E694" s="3" t="s">
        <v>1315</v>
      </c>
      <c r="F694" s="3" t="s">
        <v>1399</v>
      </c>
      <c r="G694" s="3" t="s">
        <v>1400</v>
      </c>
      <c r="H694" s="2"/>
      <c r="I694" s="4"/>
      <c r="J694" s="4"/>
      <c r="K694" s="4"/>
      <c r="L694" s="5"/>
      <c r="M694" s="3"/>
    </row>
    <row r="695" spans="1:13" x14ac:dyDescent="0.3">
      <c r="A695" s="2">
        <v>694</v>
      </c>
      <c r="B695" s="2" t="s">
        <v>1055</v>
      </c>
      <c r="C695" s="2" t="s">
        <v>1073</v>
      </c>
      <c r="D695" s="2">
        <v>1786</v>
      </c>
      <c r="E695" s="3" t="s">
        <v>1315</v>
      </c>
      <c r="F695" s="3" t="s">
        <v>1401</v>
      </c>
      <c r="G695" s="3" t="s">
        <v>1402</v>
      </c>
      <c r="H695" s="2"/>
      <c r="I695" s="4"/>
      <c r="J695" s="4"/>
      <c r="K695" s="4"/>
      <c r="L695" s="5"/>
      <c r="M695" s="3"/>
    </row>
    <row r="696" spans="1:13" ht="28.8" x14ac:dyDescent="0.3">
      <c r="A696" s="2">
        <v>695</v>
      </c>
      <c r="B696" s="2" t="s">
        <v>1055</v>
      </c>
      <c r="C696" s="2" t="s">
        <v>1073</v>
      </c>
      <c r="D696" s="2">
        <v>1850</v>
      </c>
      <c r="E696" s="3" t="s">
        <v>1403</v>
      </c>
      <c r="F696" s="3" t="s">
        <v>1404</v>
      </c>
      <c r="G696" s="3" t="s">
        <v>1405</v>
      </c>
      <c r="H696" s="2" t="s">
        <v>1406</v>
      </c>
      <c r="I696" s="4"/>
      <c r="J696" s="4"/>
      <c r="K696" s="4"/>
      <c r="L696" s="5"/>
      <c r="M696" s="3"/>
    </row>
    <row r="697" spans="1:13" x14ac:dyDescent="0.3">
      <c r="A697" s="2">
        <v>696</v>
      </c>
      <c r="B697" s="2" t="s">
        <v>1055</v>
      </c>
      <c r="C697" s="2" t="s">
        <v>1073</v>
      </c>
      <c r="D697" s="2">
        <v>1864</v>
      </c>
      <c r="E697" s="3" t="s">
        <v>1403</v>
      </c>
      <c r="F697" s="3" t="s">
        <v>1407</v>
      </c>
      <c r="G697" s="3" t="s">
        <v>1408</v>
      </c>
      <c r="H697" s="2" t="s">
        <v>1406</v>
      </c>
      <c r="I697" s="4"/>
      <c r="J697" s="4"/>
      <c r="K697" s="4"/>
      <c r="L697" s="5"/>
      <c r="M697" s="3"/>
    </row>
    <row r="698" spans="1:13" x14ac:dyDescent="0.3">
      <c r="A698" s="2">
        <v>697</v>
      </c>
      <c r="B698" s="2" t="s">
        <v>1055</v>
      </c>
      <c r="C698" s="2" t="s">
        <v>1073</v>
      </c>
      <c r="D698" s="2">
        <v>1879</v>
      </c>
      <c r="E698" s="3" t="s">
        <v>1403</v>
      </c>
      <c r="F698" s="3" t="s">
        <v>1409</v>
      </c>
      <c r="G698" s="3" t="s">
        <v>1410</v>
      </c>
      <c r="H698" s="2" t="s">
        <v>1406</v>
      </c>
      <c r="I698" s="4"/>
      <c r="J698" s="4"/>
      <c r="K698" s="4"/>
      <c r="L698" s="5"/>
      <c r="M698" s="3"/>
    </row>
    <row r="699" spans="1:13" x14ac:dyDescent="0.3">
      <c r="A699" s="2">
        <v>698</v>
      </c>
      <c r="B699" s="2" t="s">
        <v>1055</v>
      </c>
      <c r="C699" s="2" t="s">
        <v>1073</v>
      </c>
      <c r="D699" s="2">
        <v>1887</v>
      </c>
      <c r="E699" s="3" t="s">
        <v>1403</v>
      </c>
      <c r="F699" s="3" t="s">
        <v>1411</v>
      </c>
      <c r="G699" s="3" t="s">
        <v>1412</v>
      </c>
      <c r="H699" s="2" t="s">
        <v>1406</v>
      </c>
      <c r="I699" s="4"/>
      <c r="J699" s="4"/>
      <c r="K699" s="4"/>
      <c r="L699" s="5"/>
      <c r="M699" s="3"/>
    </row>
    <row r="700" spans="1:13" x14ac:dyDescent="0.3">
      <c r="A700" s="2">
        <v>699</v>
      </c>
      <c r="B700" s="2" t="s">
        <v>1055</v>
      </c>
      <c r="C700" s="2" t="s">
        <v>1073</v>
      </c>
      <c r="D700" s="2">
        <v>1898</v>
      </c>
      <c r="E700" s="3" t="s">
        <v>1403</v>
      </c>
      <c r="F700" s="3" t="s">
        <v>1413</v>
      </c>
      <c r="G700" s="3" t="s">
        <v>1414</v>
      </c>
      <c r="H700" s="2" t="s">
        <v>1406</v>
      </c>
      <c r="I700" s="4"/>
      <c r="J700" s="4"/>
      <c r="K700" s="4"/>
      <c r="L700" s="5"/>
      <c r="M700" s="3"/>
    </row>
    <row r="701" spans="1:13" x14ac:dyDescent="0.3">
      <c r="A701" s="2">
        <v>700</v>
      </c>
      <c r="B701" s="2" t="s">
        <v>1055</v>
      </c>
      <c r="C701" s="2" t="s">
        <v>1073</v>
      </c>
      <c r="D701" s="2">
        <v>1914</v>
      </c>
      <c r="E701" s="3" t="s">
        <v>1403</v>
      </c>
      <c r="F701" s="3" t="s">
        <v>1415</v>
      </c>
      <c r="G701" s="3" t="s">
        <v>1416</v>
      </c>
      <c r="H701" s="2" t="s">
        <v>1406</v>
      </c>
      <c r="I701" s="4"/>
      <c r="J701" s="4"/>
      <c r="K701" s="4"/>
      <c r="L701" s="5"/>
      <c r="M701" s="3"/>
    </row>
    <row r="702" spans="1:13" x14ac:dyDescent="0.3">
      <c r="A702" s="2">
        <v>701</v>
      </c>
      <c r="B702" s="2" t="s">
        <v>1055</v>
      </c>
      <c r="C702" s="2" t="s">
        <v>1073</v>
      </c>
      <c r="D702" s="2">
        <v>1921</v>
      </c>
      <c r="E702" s="3" t="s">
        <v>1403</v>
      </c>
      <c r="F702" s="3" t="s">
        <v>1417</v>
      </c>
      <c r="G702" s="3" t="s">
        <v>1418</v>
      </c>
      <c r="H702" s="2" t="s">
        <v>1406</v>
      </c>
      <c r="I702" s="4"/>
      <c r="J702" s="4"/>
      <c r="K702" s="4"/>
      <c r="L702" s="5"/>
      <c r="M702" s="3"/>
    </row>
    <row r="703" spans="1:13" x14ac:dyDescent="0.3">
      <c r="A703" s="2">
        <v>702</v>
      </c>
      <c r="B703" s="2" t="s">
        <v>1055</v>
      </c>
      <c r="C703" s="2" t="s">
        <v>1073</v>
      </c>
      <c r="D703" s="2">
        <v>1929</v>
      </c>
      <c r="E703" s="3" t="s">
        <v>1403</v>
      </c>
      <c r="F703" s="3" t="s">
        <v>1419</v>
      </c>
      <c r="G703" s="3" t="s">
        <v>1420</v>
      </c>
      <c r="H703" s="2" t="s">
        <v>1406</v>
      </c>
      <c r="I703" s="4"/>
      <c r="J703" s="4"/>
      <c r="K703" s="4"/>
      <c r="L703" s="5"/>
      <c r="M703" s="3"/>
    </row>
    <row r="704" spans="1:13" x14ac:dyDescent="0.3">
      <c r="A704" s="2">
        <v>703</v>
      </c>
      <c r="B704" s="2" t="s">
        <v>1055</v>
      </c>
      <c r="C704" s="2" t="s">
        <v>1073</v>
      </c>
      <c r="D704" s="2">
        <v>1941</v>
      </c>
      <c r="E704" s="3" t="s">
        <v>1403</v>
      </c>
      <c r="F704" s="3" t="s">
        <v>1421</v>
      </c>
      <c r="G704" s="3" t="s">
        <v>1422</v>
      </c>
      <c r="H704" s="2" t="s">
        <v>1406</v>
      </c>
      <c r="I704" s="4"/>
      <c r="J704" s="4"/>
      <c r="K704" s="4"/>
      <c r="L704" s="5"/>
      <c r="M704" s="3"/>
    </row>
    <row r="705" spans="1:13" x14ac:dyDescent="0.3">
      <c r="A705" s="2">
        <v>704</v>
      </c>
      <c r="B705" s="2" t="s">
        <v>1055</v>
      </c>
      <c r="C705" s="2" t="s">
        <v>1073</v>
      </c>
      <c r="D705" s="2">
        <v>1950</v>
      </c>
      <c r="E705" s="3" t="s">
        <v>1403</v>
      </c>
      <c r="F705" s="3" t="s">
        <v>1423</v>
      </c>
      <c r="G705" s="3" t="s">
        <v>1424</v>
      </c>
      <c r="H705" s="2" t="s">
        <v>1406</v>
      </c>
      <c r="I705" s="4"/>
      <c r="J705" s="4"/>
      <c r="K705" s="4"/>
      <c r="L705" s="5"/>
      <c r="M705" s="3"/>
    </row>
    <row r="706" spans="1:13" x14ac:dyDescent="0.3">
      <c r="A706" s="2">
        <v>705</v>
      </c>
      <c r="B706" s="2" t="s">
        <v>1055</v>
      </c>
      <c r="C706" s="2" t="s">
        <v>1073</v>
      </c>
      <c r="D706" s="2">
        <v>1962</v>
      </c>
      <c r="E706" s="3" t="s">
        <v>1403</v>
      </c>
      <c r="F706" s="3" t="s">
        <v>1425</v>
      </c>
      <c r="G706" s="3" t="s">
        <v>1426</v>
      </c>
      <c r="H706" s="2" t="s">
        <v>1406</v>
      </c>
      <c r="I706" s="4"/>
      <c r="J706" s="4"/>
      <c r="K706" s="4"/>
      <c r="L706" s="5"/>
      <c r="M706" s="3"/>
    </row>
    <row r="707" spans="1:13" ht="28.8" x14ac:dyDescent="0.3">
      <c r="A707" s="2">
        <v>706</v>
      </c>
      <c r="B707" s="2" t="s">
        <v>1055</v>
      </c>
      <c r="C707" s="2" t="s">
        <v>1073</v>
      </c>
      <c r="D707" s="2">
        <v>1979</v>
      </c>
      <c r="E707" s="3" t="s">
        <v>1403</v>
      </c>
      <c r="F707" s="3" t="s">
        <v>1427</v>
      </c>
      <c r="G707" s="3" t="s">
        <v>1428</v>
      </c>
      <c r="H707" s="2" t="s">
        <v>1406</v>
      </c>
      <c r="I707" s="4"/>
      <c r="J707" s="4"/>
      <c r="K707" s="4"/>
      <c r="L707" s="5"/>
      <c r="M707" s="3"/>
    </row>
    <row r="708" spans="1:13" x14ac:dyDescent="0.3">
      <c r="A708" s="2">
        <v>707</v>
      </c>
      <c r="B708" s="2" t="s">
        <v>1055</v>
      </c>
      <c r="C708" s="2" t="s">
        <v>1073</v>
      </c>
      <c r="D708" s="2">
        <v>1990</v>
      </c>
      <c r="E708" s="3" t="s">
        <v>1403</v>
      </c>
      <c r="F708" s="3" t="s">
        <v>1429</v>
      </c>
      <c r="G708" s="3" t="s">
        <v>1430</v>
      </c>
      <c r="H708" s="2" t="s">
        <v>1406</v>
      </c>
      <c r="I708" s="4"/>
      <c r="J708" s="4"/>
      <c r="K708" s="4"/>
      <c r="L708" s="5"/>
      <c r="M708" s="3"/>
    </row>
    <row r="709" spans="1:13" x14ac:dyDescent="0.3">
      <c r="A709" s="2">
        <v>708</v>
      </c>
      <c r="B709" s="2" t="s">
        <v>1055</v>
      </c>
      <c r="C709" s="2" t="s">
        <v>1073</v>
      </c>
      <c r="D709" s="2">
        <v>2000</v>
      </c>
      <c r="E709" s="3" t="s">
        <v>1403</v>
      </c>
      <c r="F709" s="3" t="s">
        <v>1431</v>
      </c>
      <c r="G709" s="3" t="s">
        <v>1432</v>
      </c>
      <c r="H709" s="2" t="s">
        <v>1406</v>
      </c>
      <c r="I709" s="4"/>
      <c r="J709" s="4"/>
      <c r="K709" s="4"/>
      <c r="L709" s="5"/>
      <c r="M709" s="3"/>
    </row>
    <row r="710" spans="1:13" x14ac:dyDescent="0.3">
      <c r="A710" s="2">
        <v>709</v>
      </c>
      <c r="B710" s="2" t="s">
        <v>1055</v>
      </c>
      <c r="C710" s="2" t="s">
        <v>1073</v>
      </c>
      <c r="D710" s="2">
        <v>2011</v>
      </c>
      <c r="E710" s="3" t="s">
        <v>1403</v>
      </c>
      <c r="F710" s="3" t="s">
        <v>1433</v>
      </c>
      <c r="G710" s="3" t="s">
        <v>1434</v>
      </c>
      <c r="H710" s="2" t="s">
        <v>1406</v>
      </c>
      <c r="I710" s="4"/>
      <c r="J710" s="4"/>
      <c r="K710" s="4"/>
      <c r="L710" s="5"/>
      <c r="M710" s="3"/>
    </row>
    <row r="711" spans="1:13" ht="28.8" x14ac:dyDescent="0.3">
      <c r="A711" s="2">
        <v>710</v>
      </c>
      <c r="B711" s="2" t="s">
        <v>1055</v>
      </c>
      <c r="C711" s="2" t="s">
        <v>1073</v>
      </c>
      <c r="D711" s="2">
        <v>2021</v>
      </c>
      <c r="E711" s="3" t="s">
        <v>1403</v>
      </c>
      <c r="F711" s="3" t="s">
        <v>1435</v>
      </c>
      <c r="G711" s="3" t="s">
        <v>1436</v>
      </c>
      <c r="H711" s="2" t="s">
        <v>1406</v>
      </c>
      <c r="I711" s="4"/>
      <c r="J711" s="4"/>
      <c r="K711" s="4"/>
      <c r="L711" s="5"/>
      <c r="M711" s="3"/>
    </row>
    <row r="712" spans="1:13" x14ac:dyDescent="0.3">
      <c r="A712" s="2">
        <v>711</v>
      </c>
      <c r="B712" s="2" t="s">
        <v>1055</v>
      </c>
      <c r="C712" s="2" t="s">
        <v>1073</v>
      </c>
      <c r="D712" s="2">
        <v>2033</v>
      </c>
      <c r="E712" s="3" t="s">
        <v>1403</v>
      </c>
      <c r="F712" s="3" t="s">
        <v>1437</v>
      </c>
      <c r="G712" s="3" t="s">
        <v>1438</v>
      </c>
      <c r="H712" s="2" t="s">
        <v>1406</v>
      </c>
      <c r="I712" s="4"/>
      <c r="J712" s="4"/>
      <c r="K712" s="4"/>
      <c r="L712" s="5"/>
      <c r="M712" s="3"/>
    </row>
    <row r="713" spans="1:13" x14ac:dyDescent="0.3">
      <c r="A713" s="2">
        <v>712</v>
      </c>
      <c r="B713" s="2" t="s">
        <v>1055</v>
      </c>
      <c r="C713" s="2" t="s">
        <v>1073</v>
      </c>
      <c r="D713" s="2">
        <v>2043</v>
      </c>
      <c r="E713" s="3" t="s">
        <v>1403</v>
      </c>
      <c r="F713" s="3" t="s">
        <v>1439</v>
      </c>
      <c r="G713" s="3" t="s">
        <v>1440</v>
      </c>
      <c r="H713" s="2" t="s">
        <v>1406</v>
      </c>
      <c r="I713" s="4"/>
      <c r="J713" s="4"/>
      <c r="K713" s="4"/>
      <c r="L713" s="5"/>
      <c r="M713" s="3"/>
    </row>
    <row r="714" spans="1:13" x14ac:dyDescent="0.3">
      <c r="A714" s="2">
        <v>713</v>
      </c>
      <c r="B714" s="2" t="s">
        <v>1055</v>
      </c>
      <c r="C714" s="2" t="s">
        <v>1073</v>
      </c>
      <c r="D714" s="2">
        <v>2057</v>
      </c>
      <c r="E714" s="3" t="s">
        <v>1403</v>
      </c>
      <c r="F714" s="3" t="s">
        <v>1441</v>
      </c>
      <c r="G714" s="3" t="s">
        <v>1442</v>
      </c>
      <c r="H714" s="2" t="s">
        <v>1406</v>
      </c>
      <c r="I714" s="4"/>
      <c r="J714" s="4"/>
      <c r="K714" s="4"/>
      <c r="L714" s="5"/>
      <c r="M714" s="3"/>
    </row>
    <row r="715" spans="1:13" x14ac:dyDescent="0.3">
      <c r="A715" s="2">
        <v>714</v>
      </c>
      <c r="B715" s="2" t="s">
        <v>1055</v>
      </c>
      <c r="C715" s="2" t="s">
        <v>1073</v>
      </c>
      <c r="D715" s="2">
        <v>2067</v>
      </c>
      <c r="E715" s="3" t="s">
        <v>1403</v>
      </c>
      <c r="F715" s="3" t="s">
        <v>1443</v>
      </c>
      <c r="G715" s="3" t="s">
        <v>1444</v>
      </c>
      <c r="H715" s="2"/>
      <c r="I715" s="4"/>
      <c r="J715" s="4"/>
      <c r="K715" s="4"/>
      <c r="L715" s="5"/>
      <c r="M715" s="3"/>
    </row>
    <row r="716" spans="1:13" x14ac:dyDescent="0.3">
      <c r="A716" s="2">
        <v>715</v>
      </c>
      <c r="B716" s="2" t="s">
        <v>1055</v>
      </c>
      <c r="C716" s="2" t="s">
        <v>1073</v>
      </c>
      <c r="D716" s="2">
        <v>2072</v>
      </c>
      <c r="E716" s="3" t="s">
        <v>1403</v>
      </c>
      <c r="F716" s="3" t="s">
        <v>1445</v>
      </c>
      <c r="G716" s="3" t="s">
        <v>1446</v>
      </c>
      <c r="H716" s="2" t="s">
        <v>1406</v>
      </c>
      <c r="I716" s="4"/>
      <c r="J716" s="4"/>
      <c r="K716" s="4"/>
      <c r="L716" s="5"/>
      <c r="M716" s="3"/>
    </row>
    <row r="717" spans="1:13" x14ac:dyDescent="0.3">
      <c r="A717" s="2">
        <v>716</v>
      </c>
      <c r="B717" s="2" t="s">
        <v>1055</v>
      </c>
      <c r="C717" s="2" t="s">
        <v>1073</v>
      </c>
      <c r="D717" s="2">
        <v>2072</v>
      </c>
      <c r="E717" s="3" t="s">
        <v>1403</v>
      </c>
      <c r="F717" s="3" t="s">
        <v>1447</v>
      </c>
      <c r="G717" s="3" t="s">
        <v>1448</v>
      </c>
      <c r="H717" s="2" t="s">
        <v>1406</v>
      </c>
      <c r="I717" s="4"/>
      <c r="J717" s="4"/>
      <c r="K717" s="4"/>
      <c r="L717" s="5"/>
      <c r="M717" s="3"/>
    </row>
    <row r="718" spans="1:13" x14ac:dyDescent="0.3">
      <c r="A718" s="2">
        <v>717</v>
      </c>
      <c r="B718" s="2" t="s">
        <v>1055</v>
      </c>
      <c r="C718" s="2" t="s">
        <v>1073</v>
      </c>
      <c r="D718" s="2">
        <v>2086</v>
      </c>
      <c r="E718" s="3" t="s">
        <v>1403</v>
      </c>
      <c r="F718" s="3" t="s">
        <v>1449</v>
      </c>
      <c r="G718" s="3" t="s">
        <v>1450</v>
      </c>
      <c r="H718" s="2" t="s">
        <v>1406</v>
      </c>
      <c r="I718" s="4"/>
      <c r="J718" s="4"/>
      <c r="K718" s="4"/>
      <c r="L718" s="5"/>
      <c r="M718" s="3"/>
    </row>
    <row r="719" spans="1:13" x14ac:dyDescent="0.3">
      <c r="A719" s="2">
        <v>718</v>
      </c>
      <c r="B719" s="2" t="s">
        <v>1055</v>
      </c>
      <c r="C719" s="2" t="s">
        <v>1073</v>
      </c>
      <c r="D719" s="2">
        <v>2102</v>
      </c>
      <c r="E719" s="3" t="s">
        <v>1403</v>
      </c>
      <c r="F719" s="3" t="s">
        <v>1451</v>
      </c>
      <c r="G719" s="3" t="s">
        <v>1452</v>
      </c>
      <c r="H719" s="2" t="s">
        <v>1406</v>
      </c>
      <c r="I719" s="4"/>
      <c r="J719" s="4"/>
      <c r="K719" s="4"/>
      <c r="L719" s="5"/>
      <c r="M719" s="3"/>
    </row>
    <row r="720" spans="1:13" x14ac:dyDescent="0.3">
      <c r="A720" s="2">
        <v>719</v>
      </c>
      <c r="B720" s="2" t="s">
        <v>1055</v>
      </c>
      <c r="C720" s="2" t="s">
        <v>1073</v>
      </c>
      <c r="D720" s="2">
        <v>2114</v>
      </c>
      <c r="E720" s="3" t="s">
        <v>1403</v>
      </c>
      <c r="F720" s="3" t="s">
        <v>1453</v>
      </c>
      <c r="G720" s="3" t="s">
        <v>1454</v>
      </c>
      <c r="H720" s="2" t="s">
        <v>1406</v>
      </c>
      <c r="I720" s="4"/>
      <c r="J720" s="4"/>
      <c r="K720" s="4"/>
      <c r="L720" s="5"/>
      <c r="M720" s="3"/>
    </row>
    <row r="721" spans="1:13" x14ac:dyDescent="0.3">
      <c r="A721" s="2">
        <v>720</v>
      </c>
      <c r="B721" s="2" t="s">
        <v>1055</v>
      </c>
      <c r="C721" s="2" t="s">
        <v>1073</v>
      </c>
      <c r="D721" s="2">
        <v>2124</v>
      </c>
      <c r="E721" s="3" t="s">
        <v>1403</v>
      </c>
      <c r="F721" s="3" t="s">
        <v>1455</v>
      </c>
      <c r="G721" s="3" t="s">
        <v>1456</v>
      </c>
      <c r="H721" s="2" t="s">
        <v>1406</v>
      </c>
      <c r="I721" s="4"/>
      <c r="J721" s="4"/>
      <c r="K721" s="4"/>
      <c r="L721" s="5"/>
      <c r="M721" s="3"/>
    </row>
    <row r="722" spans="1:13" x14ac:dyDescent="0.3">
      <c r="A722" s="2">
        <v>721</v>
      </c>
      <c r="B722" s="2" t="s">
        <v>1055</v>
      </c>
      <c r="C722" s="2" t="s">
        <v>1073</v>
      </c>
      <c r="D722" s="2">
        <v>2138</v>
      </c>
      <c r="E722" s="3" t="s">
        <v>1403</v>
      </c>
      <c r="F722" s="3" t="s">
        <v>1457</v>
      </c>
      <c r="G722" s="3" t="s">
        <v>1458</v>
      </c>
      <c r="H722" s="2" t="s">
        <v>1406</v>
      </c>
      <c r="I722" s="4"/>
      <c r="J722" s="4"/>
      <c r="K722" s="4"/>
      <c r="L722" s="5"/>
      <c r="M722" s="3"/>
    </row>
    <row r="723" spans="1:13" x14ac:dyDescent="0.3">
      <c r="A723" s="2">
        <v>722</v>
      </c>
      <c r="B723" s="2" t="s">
        <v>1055</v>
      </c>
      <c r="C723" s="2" t="s">
        <v>1073</v>
      </c>
      <c r="D723" s="2">
        <v>2146</v>
      </c>
      <c r="E723" s="3" t="s">
        <v>1403</v>
      </c>
      <c r="F723" s="3" t="s">
        <v>1459</v>
      </c>
      <c r="G723" s="3" t="s">
        <v>1460</v>
      </c>
      <c r="H723" s="2" t="s">
        <v>1406</v>
      </c>
      <c r="I723" s="4"/>
      <c r="J723" s="4"/>
      <c r="K723" s="4"/>
      <c r="L723" s="5"/>
      <c r="M723" s="3"/>
    </row>
    <row r="724" spans="1:13" x14ac:dyDescent="0.3">
      <c r="A724" s="2">
        <v>723</v>
      </c>
      <c r="B724" s="2" t="s">
        <v>1055</v>
      </c>
      <c r="C724" s="2" t="s">
        <v>1073</v>
      </c>
      <c r="D724" s="2">
        <v>2160</v>
      </c>
      <c r="E724" s="3" t="s">
        <v>1403</v>
      </c>
      <c r="F724" s="3" t="s">
        <v>1461</v>
      </c>
      <c r="G724" s="3" t="s">
        <v>1462</v>
      </c>
      <c r="H724" s="2" t="s">
        <v>1406</v>
      </c>
      <c r="I724" s="4"/>
      <c r="J724" s="4"/>
      <c r="K724" s="4"/>
      <c r="L724" s="5"/>
      <c r="M724" s="3"/>
    </row>
    <row r="725" spans="1:13" x14ac:dyDescent="0.3">
      <c r="A725" s="2">
        <v>724</v>
      </c>
      <c r="B725" s="2" t="s">
        <v>1055</v>
      </c>
      <c r="C725" s="2" t="s">
        <v>1073</v>
      </c>
      <c r="D725" s="2">
        <v>2221</v>
      </c>
      <c r="E725" s="3" t="s">
        <v>1463</v>
      </c>
      <c r="F725" s="3" t="s">
        <v>1464</v>
      </c>
      <c r="G725" s="3" t="s">
        <v>1465</v>
      </c>
      <c r="H725" s="2" t="s">
        <v>1466</v>
      </c>
      <c r="I725" s="4"/>
      <c r="J725" s="4"/>
      <c r="K725" s="4"/>
      <c r="L725" s="5"/>
      <c r="M725" s="3"/>
    </row>
    <row r="726" spans="1:13" ht="28.8" x14ac:dyDescent="0.3">
      <c r="A726" s="2">
        <v>725</v>
      </c>
      <c r="B726" s="2" t="s">
        <v>1055</v>
      </c>
      <c r="C726" s="2" t="s">
        <v>1073</v>
      </c>
      <c r="D726" s="2">
        <v>2233</v>
      </c>
      <c r="E726" s="3" t="s">
        <v>1463</v>
      </c>
      <c r="F726" s="3" t="s">
        <v>1467</v>
      </c>
      <c r="G726" s="3" t="s">
        <v>1468</v>
      </c>
      <c r="H726" s="2" t="s">
        <v>1466</v>
      </c>
      <c r="I726" s="4"/>
      <c r="J726" s="4"/>
      <c r="K726" s="4"/>
      <c r="L726" s="5"/>
      <c r="M726" s="3"/>
    </row>
    <row r="727" spans="1:13" ht="28.8" x14ac:dyDescent="0.3">
      <c r="A727" s="2">
        <v>726</v>
      </c>
      <c r="B727" s="2" t="s">
        <v>1055</v>
      </c>
      <c r="C727" s="2" t="s">
        <v>1073</v>
      </c>
      <c r="D727" s="2">
        <v>2245</v>
      </c>
      <c r="E727" s="3" t="s">
        <v>1463</v>
      </c>
      <c r="F727" s="3" t="s">
        <v>1469</v>
      </c>
      <c r="G727" s="3" t="s">
        <v>1470</v>
      </c>
      <c r="H727" s="2" t="s">
        <v>1466</v>
      </c>
      <c r="I727" s="4"/>
      <c r="J727" s="4"/>
      <c r="K727" s="4"/>
      <c r="L727" s="5"/>
      <c r="M727" s="3"/>
    </row>
    <row r="728" spans="1:13" x14ac:dyDescent="0.3">
      <c r="A728" s="2">
        <v>727</v>
      </c>
      <c r="B728" s="2" t="s">
        <v>1055</v>
      </c>
      <c r="C728" s="2" t="s">
        <v>1073</v>
      </c>
      <c r="D728" s="2">
        <v>2262</v>
      </c>
      <c r="E728" s="3" t="s">
        <v>1463</v>
      </c>
      <c r="F728" s="3" t="s">
        <v>1471</v>
      </c>
      <c r="G728" s="3" t="s">
        <v>1472</v>
      </c>
      <c r="H728" s="2" t="s">
        <v>1466</v>
      </c>
      <c r="I728" s="4"/>
      <c r="J728" s="4"/>
      <c r="K728" s="4"/>
      <c r="L728" s="5"/>
      <c r="M728" s="3"/>
    </row>
    <row r="729" spans="1:13" x14ac:dyDescent="0.3">
      <c r="A729" s="2">
        <v>728</v>
      </c>
      <c r="B729" s="2" t="s">
        <v>1055</v>
      </c>
      <c r="C729" s="2" t="s">
        <v>1073</v>
      </c>
      <c r="D729" s="2">
        <v>2272</v>
      </c>
      <c r="E729" s="3" t="s">
        <v>1463</v>
      </c>
      <c r="F729" s="3" t="s">
        <v>1473</v>
      </c>
      <c r="G729" s="3" t="s">
        <v>1474</v>
      </c>
      <c r="H729" s="2" t="s">
        <v>1466</v>
      </c>
      <c r="I729" s="4"/>
      <c r="J729" s="4"/>
      <c r="K729" s="4"/>
      <c r="L729" s="5"/>
      <c r="M729" s="3"/>
    </row>
    <row r="730" spans="1:13" ht="28.8" x14ac:dyDescent="0.3">
      <c r="A730" s="2">
        <v>729</v>
      </c>
      <c r="B730" s="2" t="s">
        <v>1055</v>
      </c>
      <c r="C730" s="2" t="s">
        <v>1073</v>
      </c>
      <c r="D730" s="2">
        <v>2287</v>
      </c>
      <c r="E730" s="3" t="s">
        <v>1463</v>
      </c>
      <c r="F730" s="3" t="s">
        <v>1475</v>
      </c>
      <c r="G730" s="3" t="s">
        <v>1476</v>
      </c>
      <c r="H730" s="2" t="s">
        <v>1466</v>
      </c>
      <c r="I730" s="4"/>
      <c r="J730" s="4"/>
      <c r="K730" s="4"/>
      <c r="L730" s="5"/>
      <c r="M730" s="3"/>
    </row>
    <row r="731" spans="1:13" x14ac:dyDescent="0.3">
      <c r="A731" s="2">
        <v>730</v>
      </c>
      <c r="B731" s="2" t="s">
        <v>1055</v>
      </c>
      <c r="C731" s="2" t="s">
        <v>1073</v>
      </c>
      <c r="D731" s="2">
        <v>2305</v>
      </c>
      <c r="E731" s="3" t="s">
        <v>1463</v>
      </c>
      <c r="F731" s="3" t="s">
        <v>1477</v>
      </c>
      <c r="G731" s="3" t="s">
        <v>1478</v>
      </c>
      <c r="H731" s="2" t="s">
        <v>1466</v>
      </c>
      <c r="I731" s="4"/>
      <c r="J731" s="4"/>
      <c r="K731" s="4"/>
      <c r="L731" s="5"/>
      <c r="M731" s="3"/>
    </row>
    <row r="732" spans="1:13" ht="28.8" x14ac:dyDescent="0.3">
      <c r="A732" s="2">
        <v>731</v>
      </c>
      <c r="B732" s="2" t="s">
        <v>1055</v>
      </c>
      <c r="C732" s="2" t="s">
        <v>1073</v>
      </c>
      <c r="D732" s="2">
        <v>2321</v>
      </c>
      <c r="E732" s="3" t="s">
        <v>1463</v>
      </c>
      <c r="F732" s="3" t="s">
        <v>1479</v>
      </c>
      <c r="G732" s="3" t="s">
        <v>1480</v>
      </c>
      <c r="H732" s="2" t="s">
        <v>1466</v>
      </c>
      <c r="I732" s="4"/>
      <c r="J732" s="4"/>
      <c r="K732" s="4"/>
      <c r="L732" s="5"/>
      <c r="M732" s="3"/>
    </row>
    <row r="733" spans="1:13" x14ac:dyDescent="0.3">
      <c r="A733" s="2">
        <v>732</v>
      </c>
      <c r="B733" s="2" t="s">
        <v>1055</v>
      </c>
      <c r="C733" s="2" t="s">
        <v>1073</v>
      </c>
      <c r="D733" s="2">
        <v>2331</v>
      </c>
      <c r="E733" s="3" t="s">
        <v>1463</v>
      </c>
      <c r="F733" s="3" t="s">
        <v>1481</v>
      </c>
      <c r="G733" s="3" t="s">
        <v>1482</v>
      </c>
      <c r="H733" s="2" t="s">
        <v>1466</v>
      </c>
      <c r="I733" s="4"/>
      <c r="J733" s="4"/>
      <c r="K733" s="4"/>
      <c r="L733" s="5"/>
      <c r="M733" s="3"/>
    </row>
    <row r="734" spans="1:13" ht="28.8" x14ac:dyDescent="0.3">
      <c r="A734" s="2">
        <v>733</v>
      </c>
      <c r="B734" s="2" t="s">
        <v>1055</v>
      </c>
      <c r="C734" s="2" t="s">
        <v>1073</v>
      </c>
      <c r="D734" s="2">
        <v>2342</v>
      </c>
      <c r="E734" s="3" t="s">
        <v>1463</v>
      </c>
      <c r="F734" s="3" t="s">
        <v>1483</v>
      </c>
      <c r="G734" s="3" t="s">
        <v>1484</v>
      </c>
      <c r="H734" s="2" t="s">
        <v>1466</v>
      </c>
      <c r="I734" s="4"/>
      <c r="J734" s="4"/>
      <c r="K734" s="4"/>
      <c r="L734" s="5"/>
      <c r="M734" s="3"/>
    </row>
    <row r="735" spans="1:13" x14ac:dyDescent="0.3">
      <c r="A735" s="2">
        <v>734</v>
      </c>
      <c r="B735" s="2" t="s">
        <v>1055</v>
      </c>
      <c r="C735" s="2" t="s">
        <v>1073</v>
      </c>
      <c r="D735" s="2">
        <v>2361</v>
      </c>
      <c r="E735" s="3" t="s">
        <v>1463</v>
      </c>
      <c r="F735" s="3" t="s">
        <v>1485</v>
      </c>
      <c r="G735" s="3" t="s">
        <v>1486</v>
      </c>
      <c r="H735" s="2" t="s">
        <v>1466</v>
      </c>
      <c r="I735" s="4"/>
      <c r="J735" s="4"/>
      <c r="K735" s="4"/>
      <c r="L735" s="5"/>
      <c r="M735" s="3"/>
    </row>
    <row r="736" spans="1:13" ht="28.8" x14ac:dyDescent="0.3">
      <c r="A736" s="2">
        <v>735</v>
      </c>
      <c r="B736" s="2" t="s">
        <v>1055</v>
      </c>
      <c r="C736" s="2" t="s">
        <v>1073</v>
      </c>
      <c r="D736" s="2">
        <v>2371</v>
      </c>
      <c r="E736" s="3" t="s">
        <v>1463</v>
      </c>
      <c r="F736" s="3" t="s">
        <v>1487</v>
      </c>
      <c r="G736" s="3" t="s">
        <v>1488</v>
      </c>
      <c r="H736" s="2" t="s">
        <v>1466</v>
      </c>
      <c r="I736" s="4"/>
      <c r="J736" s="4"/>
      <c r="K736" s="4"/>
      <c r="L736" s="5"/>
      <c r="M736" s="3"/>
    </row>
    <row r="737" spans="1:13" x14ac:dyDescent="0.3">
      <c r="A737" s="2">
        <v>736</v>
      </c>
      <c r="B737" s="2" t="s">
        <v>1055</v>
      </c>
      <c r="C737" s="2" t="s">
        <v>1073</v>
      </c>
      <c r="D737" s="2">
        <v>2384</v>
      </c>
      <c r="E737" s="3" t="s">
        <v>1463</v>
      </c>
      <c r="F737" s="3" t="s">
        <v>1489</v>
      </c>
      <c r="G737" s="3" t="s">
        <v>1490</v>
      </c>
      <c r="H737" s="2" t="s">
        <v>1466</v>
      </c>
      <c r="I737" s="4"/>
      <c r="J737" s="4"/>
      <c r="K737" s="4"/>
      <c r="L737" s="5"/>
      <c r="M737" s="3"/>
    </row>
    <row r="738" spans="1:13" x14ac:dyDescent="0.3">
      <c r="A738" s="2">
        <v>737</v>
      </c>
      <c r="B738" s="2" t="s">
        <v>1055</v>
      </c>
      <c r="C738" s="2" t="s">
        <v>1073</v>
      </c>
      <c r="D738" s="2">
        <v>2398</v>
      </c>
      <c r="E738" s="3" t="s">
        <v>1463</v>
      </c>
      <c r="F738" s="3" t="s">
        <v>1491</v>
      </c>
      <c r="G738" s="3" t="s">
        <v>1492</v>
      </c>
      <c r="H738" s="2" t="s">
        <v>1466</v>
      </c>
      <c r="I738" s="4"/>
      <c r="J738" s="4"/>
      <c r="K738" s="4"/>
      <c r="L738" s="5"/>
      <c r="M738" s="3"/>
    </row>
    <row r="739" spans="1:13" x14ac:dyDescent="0.3">
      <c r="A739" s="2">
        <v>738</v>
      </c>
      <c r="B739" s="2" t="s">
        <v>1055</v>
      </c>
      <c r="C739" s="2" t="s">
        <v>1073</v>
      </c>
      <c r="D739" s="2">
        <v>2414</v>
      </c>
      <c r="E739" s="3" t="s">
        <v>1463</v>
      </c>
      <c r="F739" s="3" t="s">
        <v>1493</v>
      </c>
      <c r="G739" s="3" t="s">
        <v>1494</v>
      </c>
      <c r="H739" s="2" t="s">
        <v>1466</v>
      </c>
      <c r="I739" s="4"/>
      <c r="J739" s="4"/>
      <c r="K739" s="4"/>
      <c r="L739" s="5"/>
      <c r="M739" s="3"/>
    </row>
    <row r="740" spans="1:13" ht="28.8" x14ac:dyDescent="0.3">
      <c r="A740" s="2">
        <v>739</v>
      </c>
      <c r="B740" s="2" t="s">
        <v>1055</v>
      </c>
      <c r="C740" s="2" t="s">
        <v>1073</v>
      </c>
      <c r="D740" s="2">
        <v>2471</v>
      </c>
      <c r="E740" s="3" t="s">
        <v>1495</v>
      </c>
      <c r="F740" s="3" t="s">
        <v>1496</v>
      </c>
      <c r="G740" s="3" t="s">
        <v>1497</v>
      </c>
      <c r="H740" s="2" t="s">
        <v>1498</v>
      </c>
      <c r="I740" s="4"/>
      <c r="J740" s="4"/>
      <c r="K740" s="4"/>
      <c r="L740" s="5"/>
      <c r="M740" s="3"/>
    </row>
    <row r="741" spans="1:13" ht="28.8" x14ac:dyDescent="0.3">
      <c r="A741" s="2">
        <v>740</v>
      </c>
      <c r="B741" s="2" t="s">
        <v>1055</v>
      </c>
      <c r="C741" s="2" t="s">
        <v>1073</v>
      </c>
      <c r="D741" s="2">
        <v>2480</v>
      </c>
      <c r="E741" s="3" t="s">
        <v>1495</v>
      </c>
      <c r="F741" s="3" t="s">
        <v>1499</v>
      </c>
      <c r="G741" s="3" t="s">
        <v>1500</v>
      </c>
      <c r="H741" s="2" t="s">
        <v>1498</v>
      </c>
      <c r="I741" s="4"/>
      <c r="J741" s="4"/>
      <c r="K741" s="4"/>
      <c r="L741" s="5"/>
      <c r="M741" s="3"/>
    </row>
    <row r="742" spans="1:13" x14ac:dyDescent="0.3">
      <c r="A742" s="2">
        <v>741</v>
      </c>
      <c r="B742" s="2" t="s">
        <v>1055</v>
      </c>
      <c r="C742" s="2" t="s">
        <v>1073</v>
      </c>
      <c r="D742" s="2">
        <v>2490</v>
      </c>
      <c r="E742" s="3" t="s">
        <v>1495</v>
      </c>
      <c r="F742" s="3" t="s">
        <v>1501</v>
      </c>
      <c r="G742" s="3" t="s">
        <v>1502</v>
      </c>
      <c r="H742" s="2" t="s">
        <v>1498</v>
      </c>
      <c r="I742" s="4"/>
      <c r="J742" s="4"/>
      <c r="K742" s="4"/>
      <c r="L742" s="5"/>
      <c r="M742" s="3"/>
    </row>
    <row r="743" spans="1:13" x14ac:dyDescent="0.3">
      <c r="A743" s="2">
        <v>742</v>
      </c>
      <c r="B743" s="2" t="s">
        <v>1055</v>
      </c>
      <c r="C743" s="2" t="s">
        <v>1073</v>
      </c>
      <c r="D743" s="2">
        <v>2490</v>
      </c>
      <c r="E743" s="3" t="s">
        <v>1495</v>
      </c>
      <c r="F743" s="3" t="s">
        <v>1503</v>
      </c>
      <c r="G743" s="3" t="s">
        <v>1504</v>
      </c>
      <c r="H743" s="2" t="s">
        <v>1498</v>
      </c>
      <c r="I743" s="4"/>
      <c r="J743" s="4"/>
      <c r="K743" s="4"/>
      <c r="L743" s="5"/>
      <c r="M743" s="3"/>
    </row>
    <row r="744" spans="1:13" x14ac:dyDescent="0.3">
      <c r="A744" s="2">
        <v>743</v>
      </c>
      <c r="B744" s="2" t="s">
        <v>1055</v>
      </c>
      <c r="C744" s="2" t="s">
        <v>1073</v>
      </c>
      <c r="D744" s="2">
        <v>2498</v>
      </c>
      <c r="E744" s="3" t="s">
        <v>1495</v>
      </c>
      <c r="F744" s="3" t="s">
        <v>1505</v>
      </c>
      <c r="G744" s="3" t="s">
        <v>1506</v>
      </c>
      <c r="H744" s="2" t="s">
        <v>1498</v>
      </c>
      <c r="I744" s="4"/>
      <c r="J744" s="4"/>
      <c r="K744" s="4"/>
      <c r="L744" s="5"/>
      <c r="M744" s="3"/>
    </row>
    <row r="745" spans="1:13" x14ac:dyDescent="0.3">
      <c r="A745" s="2">
        <v>744</v>
      </c>
      <c r="B745" s="2" t="s">
        <v>1055</v>
      </c>
      <c r="C745" s="2" t="s">
        <v>1073</v>
      </c>
      <c r="D745" s="2">
        <v>2498</v>
      </c>
      <c r="E745" s="3" t="s">
        <v>1495</v>
      </c>
      <c r="F745" s="3" t="s">
        <v>1507</v>
      </c>
      <c r="G745" s="3" t="s">
        <v>1508</v>
      </c>
      <c r="H745" s="2" t="s">
        <v>1498</v>
      </c>
      <c r="I745" s="4"/>
      <c r="J745" s="4"/>
      <c r="K745" s="4"/>
      <c r="L745" s="5"/>
      <c r="M745" s="3"/>
    </row>
    <row r="746" spans="1:13" x14ac:dyDescent="0.3">
      <c r="A746" s="2">
        <v>745</v>
      </c>
      <c r="B746" s="2" t="s">
        <v>1055</v>
      </c>
      <c r="C746" s="2" t="s">
        <v>1073</v>
      </c>
      <c r="D746" s="2">
        <v>2498</v>
      </c>
      <c r="E746" s="3" t="s">
        <v>1495</v>
      </c>
      <c r="F746" s="3" t="s">
        <v>1509</v>
      </c>
      <c r="G746" s="3" t="s">
        <v>1510</v>
      </c>
      <c r="H746" s="2" t="s">
        <v>1498</v>
      </c>
      <c r="I746" s="4"/>
      <c r="J746" s="4"/>
      <c r="K746" s="4"/>
      <c r="L746" s="5"/>
      <c r="M746" s="3"/>
    </row>
    <row r="747" spans="1:13" x14ac:dyDescent="0.3">
      <c r="A747" s="2">
        <v>746</v>
      </c>
      <c r="B747" s="2" t="s">
        <v>1055</v>
      </c>
      <c r="C747" s="2" t="s">
        <v>1073</v>
      </c>
      <c r="D747" s="2">
        <v>2498</v>
      </c>
      <c r="E747" s="3" t="s">
        <v>1495</v>
      </c>
      <c r="F747" s="3" t="s">
        <v>1511</v>
      </c>
      <c r="G747" s="3" t="s">
        <v>1512</v>
      </c>
      <c r="H747" s="2" t="s">
        <v>1498</v>
      </c>
      <c r="I747" s="4"/>
      <c r="J747" s="4"/>
      <c r="K747" s="4"/>
      <c r="L747" s="5"/>
      <c r="M747" s="3"/>
    </row>
    <row r="748" spans="1:13" x14ac:dyDescent="0.3">
      <c r="A748" s="2">
        <v>747</v>
      </c>
      <c r="B748" s="2" t="s">
        <v>1055</v>
      </c>
      <c r="C748" s="2" t="s">
        <v>1073</v>
      </c>
      <c r="D748" s="2">
        <v>2498</v>
      </c>
      <c r="E748" s="3" t="s">
        <v>1495</v>
      </c>
      <c r="F748" s="3" t="s">
        <v>1513</v>
      </c>
      <c r="G748" s="3" t="s">
        <v>1514</v>
      </c>
      <c r="H748" s="2" t="s">
        <v>1498</v>
      </c>
      <c r="I748" s="4"/>
      <c r="J748" s="4"/>
      <c r="K748" s="4"/>
      <c r="L748" s="5"/>
      <c r="M748" s="3"/>
    </row>
    <row r="749" spans="1:13" x14ac:dyDescent="0.3">
      <c r="A749" s="2">
        <v>748</v>
      </c>
      <c r="B749" s="2" t="s">
        <v>1055</v>
      </c>
      <c r="C749" s="2" t="s">
        <v>1073</v>
      </c>
      <c r="D749" s="2">
        <v>2510</v>
      </c>
      <c r="E749" s="3" t="s">
        <v>1495</v>
      </c>
      <c r="F749" s="3" t="s">
        <v>1515</v>
      </c>
      <c r="G749" s="3" t="s">
        <v>1516</v>
      </c>
      <c r="H749" s="2" t="s">
        <v>1498</v>
      </c>
      <c r="I749" s="4"/>
      <c r="J749" s="4"/>
      <c r="K749" s="4"/>
      <c r="L749" s="5"/>
      <c r="M749" s="3"/>
    </row>
    <row r="750" spans="1:13" x14ac:dyDescent="0.3">
      <c r="A750" s="2">
        <v>749</v>
      </c>
      <c r="B750" s="2" t="s">
        <v>1055</v>
      </c>
      <c r="C750" s="2" t="s">
        <v>1073</v>
      </c>
      <c r="D750" s="2">
        <v>2519</v>
      </c>
      <c r="E750" s="3" t="s">
        <v>1495</v>
      </c>
      <c r="F750" s="3" t="s">
        <v>1517</v>
      </c>
      <c r="G750" s="3" t="s">
        <v>1518</v>
      </c>
      <c r="H750" s="2" t="s">
        <v>1498</v>
      </c>
      <c r="I750" s="4"/>
      <c r="J750" s="4"/>
      <c r="K750" s="4"/>
      <c r="L750" s="5"/>
      <c r="M750" s="3"/>
    </row>
    <row r="751" spans="1:13" x14ac:dyDescent="0.3">
      <c r="A751" s="2">
        <v>750</v>
      </c>
      <c r="B751" s="2" t="s">
        <v>1055</v>
      </c>
      <c r="C751" s="2" t="s">
        <v>1073</v>
      </c>
      <c r="D751" s="2">
        <v>2519</v>
      </c>
      <c r="E751" s="3" t="s">
        <v>1495</v>
      </c>
      <c r="F751" s="3" t="s">
        <v>1519</v>
      </c>
      <c r="G751" s="3" t="s">
        <v>1520</v>
      </c>
      <c r="H751" s="2" t="s">
        <v>1498</v>
      </c>
      <c r="I751" s="4"/>
      <c r="J751" s="4"/>
      <c r="K751" s="4"/>
      <c r="L751" s="5"/>
      <c r="M751" s="3"/>
    </row>
    <row r="752" spans="1:13" x14ac:dyDescent="0.3">
      <c r="A752" s="2">
        <v>751</v>
      </c>
      <c r="B752" s="2" t="s">
        <v>1055</v>
      </c>
      <c r="C752" s="2" t="s">
        <v>1073</v>
      </c>
      <c r="D752" s="2">
        <v>2519</v>
      </c>
      <c r="E752" s="3" t="s">
        <v>1495</v>
      </c>
      <c r="F752" s="3" t="s">
        <v>1521</v>
      </c>
      <c r="G752" s="3" t="s">
        <v>1522</v>
      </c>
      <c r="H752" s="2" t="s">
        <v>1498</v>
      </c>
      <c r="I752" s="4"/>
      <c r="J752" s="4"/>
      <c r="K752" s="4"/>
      <c r="L752" s="5"/>
      <c r="M752" s="3"/>
    </row>
    <row r="753" spans="1:13" x14ac:dyDescent="0.3">
      <c r="A753" s="2">
        <v>752</v>
      </c>
      <c r="B753" s="2" t="s">
        <v>1055</v>
      </c>
      <c r="C753" s="2" t="s">
        <v>1073</v>
      </c>
      <c r="D753" s="2">
        <v>2519</v>
      </c>
      <c r="E753" s="3" t="s">
        <v>1495</v>
      </c>
      <c r="F753" s="3" t="s">
        <v>1523</v>
      </c>
      <c r="G753" s="3" t="s">
        <v>1524</v>
      </c>
      <c r="H753" s="2" t="s">
        <v>1498</v>
      </c>
      <c r="I753" s="4"/>
      <c r="J753" s="4"/>
      <c r="K753" s="4"/>
      <c r="L753" s="5"/>
      <c r="M753" s="3"/>
    </row>
    <row r="754" spans="1:13" x14ac:dyDescent="0.3">
      <c r="A754" s="2">
        <v>753</v>
      </c>
      <c r="B754" s="2" t="s">
        <v>1055</v>
      </c>
      <c r="C754" s="2" t="s">
        <v>1073</v>
      </c>
      <c r="D754" s="2">
        <v>2529</v>
      </c>
      <c r="E754" s="3" t="s">
        <v>1495</v>
      </c>
      <c r="F754" s="3" t="s">
        <v>1525</v>
      </c>
      <c r="G754" s="3" t="s">
        <v>1526</v>
      </c>
      <c r="H754" s="2" t="s">
        <v>1498</v>
      </c>
      <c r="I754" s="4"/>
      <c r="J754" s="4"/>
      <c r="K754" s="4"/>
      <c r="L754" s="5"/>
      <c r="M754" s="3"/>
    </row>
    <row r="755" spans="1:13" x14ac:dyDescent="0.3">
      <c r="A755" s="2">
        <v>754</v>
      </c>
      <c r="B755" s="2" t="s">
        <v>1055</v>
      </c>
      <c r="C755" s="2" t="s">
        <v>1073</v>
      </c>
      <c r="D755" s="2">
        <v>2537</v>
      </c>
      <c r="E755" s="3" t="s">
        <v>1495</v>
      </c>
      <c r="F755" s="3" t="s">
        <v>1527</v>
      </c>
      <c r="G755" s="3" t="s">
        <v>1528</v>
      </c>
      <c r="H755" s="2" t="s">
        <v>1498</v>
      </c>
      <c r="I755" s="4"/>
      <c r="J755" s="4"/>
      <c r="K755" s="4"/>
      <c r="L755" s="5"/>
      <c r="M755" s="3"/>
    </row>
    <row r="756" spans="1:13" x14ac:dyDescent="0.3">
      <c r="A756" s="2">
        <v>755</v>
      </c>
      <c r="B756" s="2" t="s">
        <v>1055</v>
      </c>
      <c r="C756" s="2" t="s">
        <v>1073</v>
      </c>
      <c r="D756" s="2">
        <v>2552</v>
      </c>
      <c r="E756" s="3" t="s">
        <v>1495</v>
      </c>
      <c r="F756" s="3" t="s">
        <v>1529</v>
      </c>
      <c r="G756" s="3" t="s">
        <v>1530</v>
      </c>
      <c r="H756" s="2" t="s">
        <v>1498</v>
      </c>
      <c r="I756" s="4"/>
      <c r="J756" s="4"/>
      <c r="K756" s="4"/>
      <c r="L756" s="5"/>
      <c r="M756" s="3"/>
    </row>
    <row r="757" spans="1:13" ht="28.8" x14ac:dyDescent="0.3">
      <c r="A757" s="2">
        <v>756</v>
      </c>
      <c r="B757" s="2" t="s">
        <v>1055</v>
      </c>
      <c r="C757" s="2" t="s">
        <v>1073</v>
      </c>
      <c r="D757" s="2">
        <v>2563</v>
      </c>
      <c r="E757" s="3" t="s">
        <v>1495</v>
      </c>
      <c r="F757" s="3" t="s">
        <v>1531</v>
      </c>
      <c r="G757" s="3" t="s">
        <v>1532</v>
      </c>
      <c r="H757" s="2" t="s">
        <v>1498</v>
      </c>
      <c r="I757" s="4"/>
      <c r="J757" s="4"/>
      <c r="K757" s="4"/>
      <c r="L757" s="5"/>
      <c r="M757" s="3"/>
    </row>
    <row r="758" spans="1:13" ht="28.8" x14ac:dyDescent="0.3">
      <c r="A758" s="2">
        <v>757</v>
      </c>
      <c r="B758" s="2" t="s">
        <v>1055</v>
      </c>
      <c r="C758" s="2" t="s">
        <v>1073</v>
      </c>
      <c r="D758" s="2">
        <v>2579</v>
      </c>
      <c r="E758" s="3" t="s">
        <v>1495</v>
      </c>
      <c r="F758" s="3" t="s">
        <v>1533</v>
      </c>
      <c r="G758" s="3" t="s">
        <v>1534</v>
      </c>
      <c r="H758" s="2" t="s">
        <v>1498</v>
      </c>
      <c r="I758" s="4"/>
      <c r="J758" s="4"/>
      <c r="K758" s="4"/>
      <c r="L758" s="5"/>
      <c r="M758" s="3"/>
    </row>
    <row r="759" spans="1:13" x14ac:dyDescent="0.3">
      <c r="A759" s="2">
        <v>758</v>
      </c>
      <c r="B759" s="2" t="s">
        <v>1055</v>
      </c>
      <c r="C759" s="2" t="s">
        <v>1073</v>
      </c>
      <c r="D759" s="2">
        <v>2591</v>
      </c>
      <c r="E759" s="3" t="s">
        <v>1495</v>
      </c>
      <c r="F759" s="3" t="s">
        <v>1535</v>
      </c>
      <c r="G759" s="3" t="s">
        <v>1536</v>
      </c>
      <c r="H759" s="2" t="s">
        <v>1498</v>
      </c>
      <c r="I759" s="4"/>
      <c r="J759" s="4"/>
      <c r="K759" s="4"/>
      <c r="L759" s="5"/>
      <c r="M759" s="3"/>
    </row>
    <row r="760" spans="1:13" x14ac:dyDescent="0.3">
      <c r="A760" s="2">
        <v>759</v>
      </c>
      <c r="B760" s="2" t="s">
        <v>1055</v>
      </c>
      <c r="C760" s="2" t="s">
        <v>1073</v>
      </c>
      <c r="D760" s="2">
        <v>2601</v>
      </c>
      <c r="E760" s="3" t="s">
        <v>1495</v>
      </c>
      <c r="F760" s="3" t="s">
        <v>1537</v>
      </c>
      <c r="G760" s="3" t="s">
        <v>1538</v>
      </c>
      <c r="H760" s="2" t="s">
        <v>1498</v>
      </c>
      <c r="I760" s="4"/>
      <c r="J760" s="4"/>
      <c r="K760" s="4"/>
      <c r="L760" s="5"/>
      <c r="M760" s="3"/>
    </row>
    <row r="761" spans="1:13" x14ac:dyDescent="0.3">
      <c r="A761" s="2">
        <v>760</v>
      </c>
      <c r="B761" s="2" t="s">
        <v>1055</v>
      </c>
      <c r="C761" s="2" t="s">
        <v>1073</v>
      </c>
      <c r="D761" s="2">
        <v>2610</v>
      </c>
      <c r="E761" s="3" t="s">
        <v>1495</v>
      </c>
      <c r="F761" s="3" t="s">
        <v>1539</v>
      </c>
      <c r="G761" s="3" t="s">
        <v>1540</v>
      </c>
      <c r="H761" s="2" t="s">
        <v>1498</v>
      </c>
      <c r="I761" s="4"/>
      <c r="J761" s="4"/>
      <c r="K761" s="4"/>
      <c r="L761" s="5"/>
      <c r="M761" s="3"/>
    </row>
    <row r="762" spans="1:13" x14ac:dyDescent="0.3">
      <c r="A762" s="2">
        <v>761</v>
      </c>
      <c r="B762" s="2" t="s">
        <v>1055</v>
      </c>
      <c r="C762" s="2" t="s">
        <v>1073</v>
      </c>
      <c r="D762" s="2">
        <v>2617</v>
      </c>
      <c r="E762" s="3" t="s">
        <v>1495</v>
      </c>
      <c r="F762" s="3" t="s">
        <v>1541</v>
      </c>
      <c r="G762" s="3" t="s">
        <v>1542</v>
      </c>
      <c r="H762" s="2" t="s">
        <v>1498</v>
      </c>
      <c r="I762" s="4"/>
      <c r="J762" s="4"/>
      <c r="K762" s="4"/>
      <c r="L762" s="5"/>
      <c r="M762" s="3"/>
    </row>
    <row r="763" spans="1:13" ht="28.8" x14ac:dyDescent="0.3">
      <c r="A763" s="2">
        <v>762</v>
      </c>
      <c r="B763" s="2" t="s">
        <v>1055</v>
      </c>
      <c r="C763" s="2" t="s">
        <v>1073</v>
      </c>
      <c r="D763" s="2">
        <v>2627</v>
      </c>
      <c r="E763" s="3" t="s">
        <v>1495</v>
      </c>
      <c r="F763" s="3" t="s">
        <v>1543</v>
      </c>
      <c r="G763" s="3" t="s">
        <v>1544</v>
      </c>
      <c r="H763" s="2" t="s">
        <v>1498</v>
      </c>
      <c r="I763" s="4"/>
      <c r="J763" s="4"/>
      <c r="K763" s="4"/>
      <c r="L763" s="5"/>
      <c r="M763" s="3"/>
    </row>
    <row r="764" spans="1:13" ht="28.8" x14ac:dyDescent="0.3">
      <c r="A764" s="2">
        <v>763</v>
      </c>
      <c r="B764" s="2" t="s">
        <v>1055</v>
      </c>
      <c r="C764" s="2" t="s">
        <v>1073</v>
      </c>
      <c r="D764" s="2">
        <v>2641</v>
      </c>
      <c r="E764" s="3" t="s">
        <v>1495</v>
      </c>
      <c r="F764" s="3" t="s">
        <v>1545</v>
      </c>
      <c r="G764" s="3" t="s">
        <v>1546</v>
      </c>
      <c r="H764" s="2" t="s">
        <v>1498</v>
      </c>
      <c r="I764" s="4"/>
      <c r="J764" s="4"/>
      <c r="K764" s="4"/>
      <c r="L764" s="5"/>
      <c r="M764" s="3"/>
    </row>
    <row r="765" spans="1:13" x14ac:dyDescent="0.3">
      <c r="A765" s="2">
        <v>764</v>
      </c>
      <c r="B765" s="2" t="s">
        <v>1055</v>
      </c>
      <c r="C765" s="2" t="s">
        <v>1073</v>
      </c>
      <c r="D765" s="2">
        <v>2653</v>
      </c>
      <c r="E765" s="3" t="s">
        <v>1495</v>
      </c>
      <c r="F765" s="3" t="s">
        <v>1547</v>
      </c>
      <c r="G765" s="3" t="s">
        <v>1548</v>
      </c>
      <c r="H765" s="2" t="s">
        <v>1498</v>
      </c>
      <c r="I765" s="4"/>
      <c r="J765" s="4"/>
      <c r="K765" s="4"/>
      <c r="L765" s="5"/>
      <c r="M765" s="3"/>
    </row>
    <row r="766" spans="1:13" ht="28.8" x14ac:dyDescent="0.3">
      <c r="A766" s="2">
        <v>765</v>
      </c>
      <c r="B766" s="2" t="s">
        <v>1055</v>
      </c>
      <c r="C766" s="2" t="s">
        <v>1073</v>
      </c>
      <c r="D766" s="2">
        <v>2661</v>
      </c>
      <c r="E766" s="3" t="s">
        <v>1495</v>
      </c>
      <c r="F766" s="3" t="s">
        <v>1549</v>
      </c>
      <c r="G766" s="3" t="s">
        <v>1550</v>
      </c>
      <c r="H766" s="2" t="s">
        <v>1498</v>
      </c>
      <c r="I766" s="4"/>
      <c r="J766" s="4"/>
      <c r="K766" s="4"/>
      <c r="L766" s="5"/>
      <c r="M766" s="3"/>
    </row>
    <row r="767" spans="1:13" x14ac:dyDescent="0.3">
      <c r="A767" s="2">
        <v>766</v>
      </c>
      <c r="B767" s="2" t="s">
        <v>1055</v>
      </c>
      <c r="C767" s="2" t="s">
        <v>1073</v>
      </c>
      <c r="D767" s="2">
        <v>2678</v>
      </c>
      <c r="E767" s="3" t="s">
        <v>1495</v>
      </c>
      <c r="F767" s="3" t="s">
        <v>1551</v>
      </c>
      <c r="G767" s="3" t="s">
        <v>1552</v>
      </c>
      <c r="H767" s="2" t="s">
        <v>1498</v>
      </c>
      <c r="I767" s="4"/>
      <c r="J767" s="4"/>
      <c r="K767" s="4"/>
      <c r="L767" s="5"/>
      <c r="M767" s="3"/>
    </row>
    <row r="768" spans="1:13" x14ac:dyDescent="0.3">
      <c r="A768" s="2">
        <v>767</v>
      </c>
      <c r="B768" s="2" t="s">
        <v>1055</v>
      </c>
      <c r="C768" s="2" t="s">
        <v>1073</v>
      </c>
      <c r="D768" s="2">
        <v>2687</v>
      </c>
      <c r="E768" s="3" t="s">
        <v>1495</v>
      </c>
      <c r="F768" s="3" t="s">
        <v>1553</v>
      </c>
      <c r="G768" s="3" t="s">
        <v>1554</v>
      </c>
      <c r="H768" s="2" t="s">
        <v>1498</v>
      </c>
      <c r="I768" s="4"/>
      <c r="J768" s="4"/>
      <c r="K768" s="4"/>
      <c r="L768" s="5"/>
      <c r="M768" s="3"/>
    </row>
    <row r="769" spans="1:13" x14ac:dyDescent="0.3">
      <c r="A769" s="2">
        <v>768</v>
      </c>
      <c r="B769" s="2" t="s">
        <v>1055</v>
      </c>
      <c r="C769" s="2" t="s">
        <v>1073</v>
      </c>
      <c r="D769" s="2">
        <v>2695</v>
      </c>
      <c r="E769" s="3" t="s">
        <v>1495</v>
      </c>
      <c r="F769" s="3" t="s">
        <v>1555</v>
      </c>
      <c r="G769" s="3" t="s">
        <v>1556</v>
      </c>
      <c r="H769" s="2" t="s">
        <v>1498</v>
      </c>
      <c r="I769" s="4"/>
      <c r="J769" s="4"/>
      <c r="K769" s="4"/>
      <c r="L769" s="5"/>
      <c r="M769" s="3"/>
    </row>
    <row r="770" spans="1:13" x14ac:dyDescent="0.3">
      <c r="A770" s="2">
        <v>769</v>
      </c>
      <c r="B770" s="2" t="s">
        <v>1055</v>
      </c>
      <c r="C770" s="2" t="s">
        <v>1073</v>
      </c>
      <c r="D770" s="2">
        <v>2703</v>
      </c>
      <c r="E770" s="3" t="s">
        <v>1495</v>
      </c>
      <c r="F770" s="3" t="s">
        <v>1557</v>
      </c>
      <c r="G770" s="3" t="s">
        <v>1558</v>
      </c>
      <c r="H770" s="2" t="s">
        <v>1498</v>
      </c>
      <c r="I770" s="4"/>
      <c r="J770" s="4"/>
      <c r="K770" s="4"/>
      <c r="L770" s="5"/>
      <c r="M770" s="3"/>
    </row>
    <row r="771" spans="1:13" x14ac:dyDescent="0.3">
      <c r="A771" s="2">
        <v>770</v>
      </c>
      <c r="B771" s="2" t="s">
        <v>1055</v>
      </c>
      <c r="C771" s="2" t="s">
        <v>1073</v>
      </c>
      <c r="D771" s="2">
        <v>2711</v>
      </c>
      <c r="E771" s="3" t="s">
        <v>1495</v>
      </c>
      <c r="F771" s="3" t="s">
        <v>1559</v>
      </c>
      <c r="G771" s="3" t="s">
        <v>1560</v>
      </c>
      <c r="H771" s="2" t="s">
        <v>1498</v>
      </c>
      <c r="I771" s="4"/>
      <c r="J771" s="4"/>
      <c r="K771" s="4"/>
      <c r="L771" s="5"/>
      <c r="M771" s="3"/>
    </row>
    <row r="772" spans="1:13" x14ac:dyDescent="0.3">
      <c r="A772" s="2">
        <v>771</v>
      </c>
      <c r="B772" s="2" t="s">
        <v>1055</v>
      </c>
      <c r="C772" s="2" t="s">
        <v>1073</v>
      </c>
      <c r="D772" s="2">
        <v>2711</v>
      </c>
      <c r="E772" s="3" t="s">
        <v>1495</v>
      </c>
      <c r="F772" s="3" t="s">
        <v>1561</v>
      </c>
      <c r="G772" s="3" t="s">
        <v>1562</v>
      </c>
      <c r="H772" s="2" t="s">
        <v>1498</v>
      </c>
      <c r="I772" s="4"/>
      <c r="J772" s="4"/>
      <c r="K772" s="4"/>
      <c r="L772" s="5"/>
      <c r="M772" s="3"/>
    </row>
    <row r="773" spans="1:13" x14ac:dyDescent="0.3">
      <c r="A773" s="2">
        <v>772</v>
      </c>
      <c r="B773" s="2" t="s">
        <v>1055</v>
      </c>
      <c r="C773" s="2" t="s">
        <v>1073</v>
      </c>
      <c r="D773" s="2">
        <v>2721</v>
      </c>
      <c r="E773" s="3" t="s">
        <v>1495</v>
      </c>
      <c r="F773" s="3" t="s">
        <v>1563</v>
      </c>
      <c r="G773" s="3" t="s">
        <v>1564</v>
      </c>
      <c r="H773" s="2" t="s">
        <v>1498</v>
      </c>
      <c r="I773" s="4"/>
      <c r="J773" s="4"/>
      <c r="K773" s="4"/>
      <c r="L773" s="5"/>
      <c r="M773" s="3"/>
    </row>
    <row r="774" spans="1:13" x14ac:dyDescent="0.3">
      <c r="A774" s="2">
        <v>773</v>
      </c>
      <c r="B774" s="2" t="s">
        <v>1055</v>
      </c>
      <c r="C774" s="2" t="s">
        <v>1073</v>
      </c>
      <c r="D774" s="2">
        <v>2732</v>
      </c>
      <c r="E774" s="3" t="s">
        <v>1495</v>
      </c>
      <c r="F774" s="3" t="s">
        <v>1565</v>
      </c>
      <c r="G774" s="3" t="s">
        <v>1566</v>
      </c>
      <c r="H774" s="2" t="s">
        <v>1498</v>
      </c>
      <c r="I774" s="4"/>
      <c r="J774" s="4"/>
      <c r="K774" s="4"/>
      <c r="L774" s="5"/>
      <c r="M774" s="3"/>
    </row>
    <row r="775" spans="1:13" x14ac:dyDescent="0.3">
      <c r="A775" s="2">
        <v>774</v>
      </c>
      <c r="B775" s="2" t="s">
        <v>1055</v>
      </c>
      <c r="C775" s="2" t="s">
        <v>1073</v>
      </c>
      <c r="D775" s="2">
        <v>2743</v>
      </c>
      <c r="E775" s="3" t="s">
        <v>1495</v>
      </c>
      <c r="F775" s="3" t="s">
        <v>1567</v>
      </c>
      <c r="G775" s="3" t="s">
        <v>1568</v>
      </c>
      <c r="H775" s="2" t="s">
        <v>1498</v>
      </c>
      <c r="I775" s="4"/>
      <c r="J775" s="4"/>
      <c r="K775" s="4"/>
      <c r="L775" s="5"/>
      <c r="M775" s="3"/>
    </row>
    <row r="776" spans="1:13" x14ac:dyDescent="0.3">
      <c r="A776" s="2">
        <v>775</v>
      </c>
      <c r="B776" s="2" t="s">
        <v>1055</v>
      </c>
      <c r="C776" s="2" t="s">
        <v>1073</v>
      </c>
      <c r="D776" s="2">
        <v>2758</v>
      </c>
      <c r="E776" s="3" t="s">
        <v>1495</v>
      </c>
      <c r="F776" s="3" t="s">
        <v>1569</v>
      </c>
      <c r="G776" s="3" t="s">
        <v>1570</v>
      </c>
      <c r="H776" s="2" t="s">
        <v>1498</v>
      </c>
      <c r="I776" s="4"/>
      <c r="J776" s="4"/>
      <c r="K776" s="4"/>
      <c r="L776" s="5"/>
      <c r="M776" s="3"/>
    </row>
    <row r="777" spans="1:13" ht="28.8" x14ac:dyDescent="0.3">
      <c r="A777" s="2">
        <v>776</v>
      </c>
      <c r="B777" s="2" t="s">
        <v>1055</v>
      </c>
      <c r="C777" s="2" t="s">
        <v>1073</v>
      </c>
      <c r="D777" s="2">
        <v>2773</v>
      </c>
      <c r="E777" s="3" t="s">
        <v>1495</v>
      </c>
      <c r="F777" s="3" t="s">
        <v>1571</v>
      </c>
      <c r="G777" s="3" t="s">
        <v>1572</v>
      </c>
      <c r="H777" s="2" t="s">
        <v>1498</v>
      </c>
      <c r="I777" s="4"/>
      <c r="J777" s="4"/>
      <c r="K777" s="4"/>
      <c r="L777" s="5"/>
      <c r="M777" s="3"/>
    </row>
    <row r="778" spans="1:13" ht="28.8" x14ac:dyDescent="0.3">
      <c r="A778" s="2">
        <v>777</v>
      </c>
      <c r="B778" s="2" t="s">
        <v>1055</v>
      </c>
      <c r="C778" s="2" t="s">
        <v>1073</v>
      </c>
      <c r="D778" s="2">
        <v>2783</v>
      </c>
      <c r="E778" s="3" t="s">
        <v>1495</v>
      </c>
      <c r="F778" s="3" t="s">
        <v>1573</v>
      </c>
      <c r="G778" s="3" t="s">
        <v>1574</v>
      </c>
      <c r="H778" s="2" t="s">
        <v>1498</v>
      </c>
      <c r="I778" s="4"/>
      <c r="J778" s="4"/>
      <c r="K778" s="4"/>
      <c r="L778" s="5"/>
      <c r="M778" s="3"/>
    </row>
    <row r="779" spans="1:13" x14ac:dyDescent="0.3">
      <c r="A779" s="2">
        <v>778</v>
      </c>
      <c r="B779" s="2" t="s">
        <v>1055</v>
      </c>
      <c r="C779" s="2" t="s">
        <v>1073</v>
      </c>
      <c r="D779" s="2">
        <v>2799</v>
      </c>
      <c r="E779" s="3" t="s">
        <v>1495</v>
      </c>
      <c r="F779" s="3" t="s">
        <v>1575</v>
      </c>
      <c r="G779" s="3" t="s">
        <v>1576</v>
      </c>
      <c r="H779" s="2" t="s">
        <v>1498</v>
      </c>
      <c r="I779" s="4"/>
      <c r="J779" s="4"/>
      <c r="K779" s="4"/>
      <c r="L779" s="5"/>
      <c r="M779" s="3"/>
    </row>
    <row r="780" spans="1:13" x14ac:dyDescent="0.3">
      <c r="A780" s="2">
        <v>779</v>
      </c>
      <c r="B780" s="2" t="s">
        <v>1055</v>
      </c>
      <c r="C780" s="2" t="s">
        <v>1073</v>
      </c>
      <c r="D780" s="2">
        <v>2826</v>
      </c>
      <c r="E780" s="3" t="s">
        <v>1495</v>
      </c>
      <c r="F780" s="3" t="s">
        <v>1577</v>
      </c>
      <c r="G780" s="3" t="s">
        <v>1578</v>
      </c>
      <c r="H780" s="2"/>
      <c r="I780" s="4"/>
      <c r="J780" s="4"/>
      <c r="K780" s="4"/>
      <c r="L780" s="5"/>
      <c r="M780" s="3"/>
    </row>
    <row r="781" spans="1:13" ht="28.8" x14ac:dyDescent="0.3">
      <c r="A781" s="2">
        <v>780</v>
      </c>
      <c r="B781" s="2" t="s">
        <v>1055</v>
      </c>
      <c r="C781" s="2" t="s">
        <v>1073</v>
      </c>
      <c r="D781" s="2">
        <v>2826</v>
      </c>
      <c r="E781" s="3" t="s">
        <v>1495</v>
      </c>
      <c r="F781" s="3" t="s">
        <v>1579</v>
      </c>
      <c r="G781" s="3" t="s">
        <v>1580</v>
      </c>
      <c r="H781" s="2"/>
      <c r="I781" s="4"/>
      <c r="J781" s="4"/>
      <c r="K781" s="4"/>
      <c r="L781" s="5"/>
      <c r="M781" s="3"/>
    </row>
    <row r="782" spans="1:13" x14ac:dyDescent="0.3">
      <c r="A782" s="2">
        <v>781</v>
      </c>
      <c r="B782" s="2" t="s">
        <v>1055</v>
      </c>
      <c r="C782" s="2" t="s">
        <v>1073</v>
      </c>
      <c r="D782" s="2">
        <v>2826</v>
      </c>
      <c r="E782" s="3" t="s">
        <v>1495</v>
      </c>
      <c r="F782" s="3" t="s">
        <v>1581</v>
      </c>
      <c r="G782" s="3" t="s">
        <v>1582</v>
      </c>
      <c r="H782" s="2"/>
      <c r="I782" s="4"/>
      <c r="J782" s="4"/>
      <c r="K782" s="4"/>
      <c r="L782" s="5"/>
      <c r="M782" s="3"/>
    </row>
    <row r="783" spans="1:13" ht="28.8" x14ac:dyDescent="0.3">
      <c r="A783" s="2">
        <v>782</v>
      </c>
      <c r="B783" s="2" t="s">
        <v>1055</v>
      </c>
      <c r="C783" s="2" t="s">
        <v>1073</v>
      </c>
      <c r="D783" s="2">
        <v>2826</v>
      </c>
      <c r="E783" s="3" t="s">
        <v>1495</v>
      </c>
      <c r="F783" s="3" t="s">
        <v>1583</v>
      </c>
      <c r="G783" s="3" t="s">
        <v>1584</v>
      </c>
      <c r="H783" s="2"/>
      <c r="I783" s="4"/>
      <c r="J783" s="4"/>
      <c r="K783" s="4"/>
      <c r="L783" s="5"/>
      <c r="M783" s="3"/>
    </row>
    <row r="784" spans="1:13" x14ac:dyDescent="0.3">
      <c r="A784" s="2">
        <v>783</v>
      </c>
      <c r="B784" s="2" t="s">
        <v>1055</v>
      </c>
      <c r="C784" s="2" t="s">
        <v>1073</v>
      </c>
      <c r="D784" s="2">
        <v>2826</v>
      </c>
      <c r="E784" s="3" t="s">
        <v>1495</v>
      </c>
      <c r="F784" s="3" t="s">
        <v>1585</v>
      </c>
      <c r="G784" s="3" t="s">
        <v>1586</v>
      </c>
      <c r="H784" s="2"/>
      <c r="I784" s="4"/>
      <c r="J784" s="4"/>
      <c r="K784" s="4"/>
      <c r="L784" s="5"/>
      <c r="M784" s="3"/>
    </row>
    <row r="785" spans="1:13" ht="28.8" x14ac:dyDescent="0.3">
      <c r="A785" s="2">
        <v>784</v>
      </c>
      <c r="B785" s="2" t="s">
        <v>1055</v>
      </c>
      <c r="C785" s="2" t="s">
        <v>1073</v>
      </c>
      <c r="D785" s="2">
        <v>2826</v>
      </c>
      <c r="E785" s="3" t="s">
        <v>1495</v>
      </c>
      <c r="F785" s="3" t="s">
        <v>1587</v>
      </c>
      <c r="G785" s="3" t="s">
        <v>1588</v>
      </c>
      <c r="H785" s="2"/>
      <c r="I785" s="4"/>
      <c r="J785" s="4"/>
      <c r="K785" s="4"/>
      <c r="L785" s="5"/>
      <c r="M785" s="3"/>
    </row>
    <row r="786" spans="1:13" ht="28.8" x14ac:dyDescent="0.3">
      <c r="A786" s="2">
        <v>785</v>
      </c>
      <c r="B786" s="2" t="s">
        <v>1055</v>
      </c>
      <c r="C786" s="2" t="s">
        <v>1073</v>
      </c>
      <c r="D786" s="2">
        <v>2826</v>
      </c>
      <c r="E786" s="3" t="s">
        <v>1495</v>
      </c>
      <c r="F786" s="3" t="s">
        <v>1589</v>
      </c>
      <c r="G786" s="3" t="s">
        <v>1590</v>
      </c>
      <c r="H786" s="2"/>
      <c r="I786" s="4"/>
      <c r="J786" s="4"/>
      <c r="K786" s="4"/>
      <c r="L786" s="5"/>
      <c r="M786" s="3"/>
    </row>
    <row r="787" spans="1:13" ht="28.8" x14ac:dyDescent="0.3">
      <c r="A787" s="2">
        <v>786</v>
      </c>
      <c r="B787" s="2" t="s">
        <v>1055</v>
      </c>
      <c r="C787" s="2" t="s">
        <v>1073</v>
      </c>
      <c r="D787" s="2">
        <v>2826</v>
      </c>
      <c r="E787" s="3" t="s">
        <v>1495</v>
      </c>
      <c r="F787" s="3" t="s">
        <v>1591</v>
      </c>
      <c r="G787" s="3" t="s">
        <v>1592</v>
      </c>
      <c r="H787" s="2"/>
      <c r="I787" s="4"/>
      <c r="J787" s="4"/>
      <c r="K787" s="4"/>
      <c r="L787" s="5"/>
      <c r="M787" s="3"/>
    </row>
    <row r="788" spans="1:13" ht="28.8" x14ac:dyDescent="0.3">
      <c r="A788" s="2">
        <v>787</v>
      </c>
      <c r="B788" s="2" t="s">
        <v>1055</v>
      </c>
      <c r="C788" s="2" t="s">
        <v>1073</v>
      </c>
      <c r="D788" s="2">
        <v>2826</v>
      </c>
      <c r="E788" s="3" t="s">
        <v>1495</v>
      </c>
      <c r="F788" s="3" t="s">
        <v>1593</v>
      </c>
      <c r="G788" s="3" t="s">
        <v>1594</v>
      </c>
      <c r="H788" s="2"/>
      <c r="I788" s="4"/>
      <c r="J788" s="4"/>
      <c r="K788" s="4"/>
      <c r="L788" s="5"/>
      <c r="M788" s="3"/>
    </row>
    <row r="789" spans="1:13" ht="28.8" x14ac:dyDescent="0.3">
      <c r="A789" s="2">
        <v>788</v>
      </c>
      <c r="B789" s="2" t="s">
        <v>1055</v>
      </c>
      <c r="C789" s="2" t="s">
        <v>1073</v>
      </c>
      <c r="D789" s="2">
        <v>2904</v>
      </c>
      <c r="E789" s="3" t="s">
        <v>1595</v>
      </c>
      <c r="F789" s="3" t="s">
        <v>1596</v>
      </c>
      <c r="G789" s="3" t="s">
        <v>1597</v>
      </c>
      <c r="H789" s="2" t="s">
        <v>1598</v>
      </c>
      <c r="I789" s="4"/>
      <c r="J789" s="4"/>
      <c r="K789" s="4"/>
      <c r="L789" s="5"/>
      <c r="M789" s="3"/>
    </row>
    <row r="790" spans="1:13" ht="28.8" x14ac:dyDescent="0.3">
      <c r="A790" s="2">
        <v>789</v>
      </c>
      <c r="B790" s="2" t="s">
        <v>1055</v>
      </c>
      <c r="C790" s="2" t="s">
        <v>1073</v>
      </c>
      <c r="D790" s="2">
        <v>2913</v>
      </c>
      <c r="E790" s="3" t="s">
        <v>1595</v>
      </c>
      <c r="F790" s="3" t="s">
        <v>1599</v>
      </c>
      <c r="G790" s="3" t="s">
        <v>1600</v>
      </c>
      <c r="H790" s="2" t="s">
        <v>1598</v>
      </c>
      <c r="I790" s="4"/>
      <c r="J790" s="4"/>
      <c r="K790" s="4"/>
      <c r="L790" s="5"/>
      <c r="M790" s="3"/>
    </row>
    <row r="791" spans="1:13" x14ac:dyDescent="0.3">
      <c r="A791" s="2">
        <v>790</v>
      </c>
      <c r="B791" s="2" t="s">
        <v>1055</v>
      </c>
      <c r="C791" s="2" t="s">
        <v>1073</v>
      </c>
      <c r="D791" s="2">
        <v>2921</v>
      </c>
      <c r="E791" s="3" t="s">
        <v>1595</v>
      </c>
      <c r="F791" s="3" t="s">
        <v>1601</v>
      </c>
      <c r="G791" s="3" t="s">
        <v>1602</v>
      </c>
      <c r="H791" s="2" t="s">
        <v>1598</v>
      </c>
      <c r="I791" s="4"/>
      <c r="J791" s="4"/>
      <c r="K791" s="4"/>
      <c r="L791" s="5"/>
      <c r="M791" s="3"/>
    </row>
    <row r="792" spans="1:13" x14ac:dyDescent="0.3">
      <c r="A792" s="2">
        <v>791</v>
      </c>
      <c r="B792" s="2" t="s">
        <v>1055</v>
      </c>
      <c r="C792" s="2" t="s">
        <v>1073</v>
      </c>
      <c r="D792" s="2">
        <v>2921</v>
      </c>
      <c r="E792" s="3" t="s">
        <v>1595</v>
      </c>
      <c r="F792" s="3" t="s">
        <v>1603</v>
      </c>
      <c r="G792" s="3" t="s">
        <v>1604</v>
      </c>
      <c r="H792" s="2" t="s">
        <v>1598</v>
      </c>
      <c r="I792" s="4"/>
      <c r="J792" s="4"/>
      <c r="K792" s="4"/>
      <c r="L792" s="5"/>
      <c r="M792" s="3"/>
    </row>
    <row r="793" spans="1:13" x14ac:dyDescent="0.3">
      <c r="A793" s="2">
        <v>792</v>
      </c>
      <c r="B793" s="2" t="s">
        <v>1055</v>
      </c>
      <c r="C793" s="2" t="s">
        <v>1073</v>
      </c>
      <c r="D793" s="2">
        <v>2928</v>
      </c>
      <c r="E793" s="3" t="s">
        <v>1595</v>
      </c>
      <c r="F793" s="3" t="s">
        <v>1605</v>
      </c>
      <c r="G793" s="3" t="s">
        <v>1606</v>
      </c>
      <c r="H793" s="2" t="s">
        <v>1598</v>
      </c>
      <c r="I793" s="4"/>
      <c r="J793" s="4"/>
      <c r="K793" s="4"/>
      <c r="L793" s="5"/>
      <c r="M793" s="3"/>
    </row>
    <row r="794" spans="1:13" ht="28.8" x14ac:dyDescent="0.3">
      <c r="A794" s="2">
        <v>793</v>
      </c>
      <c r="B794" s="2" t="s">
        <v>1055</v>
      </c>
      <c r="C794" s="2" t="s">
        <v>1073</v>
      </c>
      <c r="D794" s="2">
        <v>2947</v>
      </c>
      <c r="E794" s="3" t="s">
        <v>1595</v>
      </c>
      <c r="F794" s="3" t="s">
        <v>1607</v>
      </c>
      <c r="G794" s="3" t="s">
        <v>1608</v>
      </c>
      <c r="H794" s="2" t="s">
        <v>1598</v>
      </c>
      <c r="I794" s="4"/>
      <c r="J794" s="4"/>
      <c r="K794" s="4"/>
      <c r="L794" s="5"/>
      <c r="M794" s="3"/>
    </row>
    <row r="795" spans="1:13" ht="28.8" x14ac:dyDescent="0.3">
      <c r="A795" s="2">
        <v>794</v>
      </c>
      <c r="B795" s="2" t="s">
        <v>1055</v>
      </c>
      <c r="C795" s="2" t="s">
        <v>1073</v>
      </c>
      <c r="D795" s="2">
        <v>2960</v>
      </c>
      <c r="E795" s="3" t="s">
        <v>1595</v>
      </c>
      <c r="F795" s="3" t="s">
        <v>1609</v>
      </c>
      <c r="G795" s="3" t="s">
        <v>1610</v>
      </c>
      <c r="H795" s="2" t="s">
        <v>1598</v>
      </c>
      <c r="I795" s="4"/>
      <c r="J795" s="4"/>
      <c r="K795" s="4"/>
      <c r="L795" s="5"/>
      <c r="M795" s="3"/>
    </row>
    <row r="796" spans="1:13" x14ac:dyDescent="0.3">
      <c r="A796" s="2">
        <v>795</v>
      </c>
      <c r="B796" s="2" t="s">
        <v>1055</v>
      </c>
      <c r="C796" s="2" t="s">
        <v>1073</v>
      </c>
      <c r="D796" s="2">
        <v>2972</v>
      </c>
      <c r="E796" s="3" t="s">
        <v>1595</v>
      </c>
      <c r="F796" s="3" t="s">
        <v>1611</v>
      </c>
      <c r="G796" s="3" t="s">
        <v>1612</v>
      </c>
      <c r="H796" s="2" t="s">
        <v>1598</v>
      </c>
      <c r="I796" s="4"/>
      <c r="J796" s="4"/>
      <c r="K796" s="4"/>
      <c r="L796" s="5"/>
      <c r="M796" s="3"/>
    </row>
    <row r="797" spans="1:13" ht="28.8" x14ac:dyDescent="0.3">
      <c r="A797" s="2">
        <v>796</v>
      </c>
      <c r="B797" s="2" t="s">
        <v>1055</v>
      </c>
      <c r="C797" s="2" t="s">
        <v>1073</v>
      </c>
      <c r="D797" s="2">
        <v>2988</v>
      </c>
      <c r="E797" s="3" t="s">
        <v>1595</v>
      </c>
      <c r="F797" s="3" t="s">
        <v>1613</v>
      </c>
      <c r="G797" s="3" t="s">
        <v>1614</v>
      </c>
      <c r="H797" s="2" t="s">
        <v>1598</v>
      </c>
      <c r="I797" s="4"/>
      <c r="J797" s="4"/>
      <c r="K797" s="4"/>
      <c r="L797" s="5"/>
      <c r="M797" s="3"/>
    </row>
    <row r="798" spans="1:13" ht="28.8" x14ac:dyDescent="0.3">
      <c r="A798" s="2">
        <v>797</v>
      </c>
      <c r="B798" s="2" t="s">
        <v>1055</v>
      </c>
      <c r="C798" s="2" t="s">
        <v>1073</v>
      </c>
      <c r="D798" s="2">
        <v>3000</v>
      </c>
      <c r="E798" s="3" t="s">
        <v>1595</v>
      </c>
      <c r="F798" s="3" t="s">
        <v>1615</v>
      </c>
      <c r="G798" s="3" t="s">
        <v>1616</v>
      </c>
      <c r="H798" s="2" t="s">
        <v>1598</v>
      </c>
      <c r="I798" s="4"/>
      <c r="J798" s="4"/>
      <c r="K798" s="4"/>
      <c r="L798" s="5"/>
      <c r="M798" s="3"/>
    </row>
    <row r="799" spans="1:13" x14ac:dyDescent="0.3">
      <c r="A799" s="2">
        <v>798</v>
      </c>
      <c r="B799" s="2" t="s">
        <v>1055</v>
      </c>
      <c r="C799" s="2" t="s">
        <v>1073</v>
      </c>
      <c r="D799" s="2">
        <v>3009</v>
      </c>
      <c r="E799" s="3" t="s">
        <v>1595</v>
      </c>
      <c r="F799" s="3" t="s">
        <v>1617</v>
      </c>
      <c r="G799" s="3" t="s">
        <v>1618</v>
      </c>
      <c r="H799" s="2" t="s">
        <v>1598</v>
      </c>
      <c r="I799" s="4"/>
      <c r="J799" s="4"/>
      <c r="K799" s="4"/>
      <c r="L799" s="5"/>
      <c r="M799" s="3"/>
    </row>
    <row r="800" spans="1:13" ht="28.8" x14ac:dyDescent="0.3">
      <c r="A800" s="2">
        <v>799</v>
      </c>
      <c r="B800" s="2" t="s">
        <v>1055</v>
      </c>
      <c r="C800" s="2" t="s">
        <v>1073</v>
      </c>
      <c r="D800" s="2">
        <v>3020</v>
      </c>
      <c r="E800" s="3" t="s">
        <v>1595</v>
      </c>
      <c r="F800" s="3" t="s">
        <v>1619</v>
      </c>
      <c r="G800" s="3" t="s">
        <v>1620</v>
      </c>
      <c r="H800" s="2" t="s">
        <v>1598</v>
      </c>
      <c r="I800" s="4"/>
      <c r="J800" s="4"/>
      <c r="K800" s="4"/>
      <c r="L800" s="5"/>
      <c r="M800" s="3"/>
    </row>
    <row r="801" spans="1:13" x14ac:dyDescent="0.3">
      <c r="A801" s="2">
        <v>800</v>
      </c>
      <c r="B801" s="2" t="s">
        <v>1055</v>
      </c>
      <c r="C801" s="2" t="s">
        <v>1073</v>
      </c>
      <c r="D801" s="2">
        <v>3031</v>
      </c>
      <c r="E801" s="3" t="s">
        <v>1595</v>
      </c>
      <c r="F801" s="3" t="s">
        <v>1621</v>
      </c>
      <c r="G801" s="3" t="s">
        <v>1622</v>
      </c>
      <c r="H801" s="2" t="s">
        <v>1598</v>
      </c>
      <c r="I801" s="4"/>
      <c r="J801" s="4"/>
      <c r="K801" s="4"/>
      <c r="L801" s="5"/>
      <c r="M801" s="3"/>
    </row>
    <row r="802" spans="1:13" x14ac:dyDescent="0.3">
      <c r="A802" s="2">
        <v>801</v>
      </c>
      <c r="B802" s="2" t="s">
        <v>1055</v>
      </c>
      <c r="C802" s="2" t="s">
        <v>1073</v>
      </c>
      <c r="D802" s="2">
        <v>3037</v>
      </c>
      <c r="E802" s="3" t="s">
        <v>1595</v>
      </c>
      <c r="F802" s="3" t="s">
        <v>1623</v>
      </c>
      <c r="G802" s="3" t="s">
        <v>1624</v>
      </c>
      <c r="H802" s="2" t="s">
        <v>1598</v>
      </c>
      <c r="I802" s="4"/>
      <c r="J802" s="4"/>
      <c r="K802" s="4"/>
      <c r="L802" s="5"/>
      <c r="M802" s="3"/>
    </row>
    <row r="803" spans="1:13" x14ac:dyDescent="0.3">
      <c r="A803" s="2">
        <v>802</v>
      </c>
      <c r="B803" s="2" t="s">
        <v>1055</v>
      </c>
      <c r="C803" s="2" t="s">
        <v>1073</v>
      </c>
      <c r="D803" s="2">
        <v>3048</v>
      </c>
      <c r="E803" s="3" t="s">
        <v>1595</v>
      </c>
      <c r="F803" s="3" t="s">
        <v>1625</v>
      </c>
      <c r="G803" s="3" t="s">
        <v>1626</v>
      </c>
      <c r="H803" s="2" t="s">
        <v>1598</v>
      </c>
      <c r="I803" s="4"/>
      <c r="J803" s="4"/>
      <c r="K803" s="4"/>
      <c r="L803" s="5"/>
      <c r="M803" s="3"/>
    </row>
    <row r="804" spans="1:13" x14ac:dyDescent="0.3">
      <c r="A804" s="2">
        <v>803</v>
      </c>
      <c r="B804" s="2" t="s">
        <v>1055</v>
      </c>
      <c r="C804" s="2" t="s">
        <v>1073</v>
      </c>
      <c r="D804" s="2">
        <v>3057</v>
      </c>
      <c r="E804" s="3" t="s">
        <v>1595</v>
      </c>
      <c r="F804" s="3" t="s">
        <v>1627</v>
      </c>
      <c r="G804" s="3" t="s">
        <v>1628</v>
      </c>
      <c r="H804" s="2" t="s">
        <v>1598</v>
      </c>
      <c r="I804" s="4"/>
      <c r="J804" s="4"/>
      <c r="K804" s="4"/>
      <c r="L804" s="5"/>
      <c r="M804" s="3"/>
    </row>
    <row r="805" spans="1:13" x14ac:dyDescent="0.3">
      <c r="A805" s="2">
        <v>804</v>
      </c>
      <c r="B805" s="2" t="s">
        <v>1055</v>
      </c>
      <c r="C805" s="2" t="s">
        <v>1073</v>
      </c>
      <c r="D805" s="2">
        <v>3067</v>
      </c>
      <c r="E805" s="3" t="s">
        <v>1595</v>
      </c>
      <c r="F805" s="3" t="s">
        <v>1629</v>
      </c>
      <c r="G805" s="3" t="s">
        <v>1630</v>
      </c>
      <c r="H805" s="2" t="s">
        <v>1598</v>
      </c>
      <c r="I805" s="4"/>
      <c r="J805" s="4"/>
      <c r="K805" s="4"/>
      <c r="L805" s="5"/>
      <c r="M805" s="3"/>
    </row>
    <row r="806" spans="1:13" x14ac:dyDescent="0.3">
      <c r="A806" s="2">
        <v>805</v>
      </c>
      <c r="B806" s="2" t="s">
        <v>1055</v>
      </c>
      <c r="C806" s="2" t="s">
        <v>1073</v>
      </c>
      <c r="D806" s="2">
        <v>3076</v>
      </c>
      <c r="E806" s="3" t="s">
        <v>1595</v>
      </c>
      <c r="F806" s="3" t="s">
        <v>1631</v>
      </c>
      <c r="G806" s="3" t="s">
        <v>1632</v>
      </c>
      <c r="H806" s="2" t="s">
        <v>1598</v>
      </c>
      <c r="I806" s="4"/>
      <c r="J806" s="4"/>
      <c r="K806" s="4"/>
      <c r="L806" s="5"/>
      <c r="M806" s="3"/>
    </row>
    <row r="807" spans="1:13" ht="28.8" x14ac:dyDescent="0.3">
      <c r="A807" s="2">
        <v>806</v>
      </c>
      <c r="B807" s="2" t="s">
        <v>1055</v>
      </c>
      <c r="C807" s="2" t="s">
        <v>1073</v>
      </c>
      <c r="D807" s="2">
        <v>3083</v>
      </c>
      <c r="E807" s="3" t="s">
        <v>1595</v>
      </c>
      <c r="F807" s="3" t="s">
        <v>1633</v>
      </c>
      <c r="G807" s="3" t="s">
        <v>1634</v>
      </c>
      <c r="H807" s="2" t="s">
        <v>1598</v>
      </c>
      <c r="I807" s="4"/>
      <c r="J807" s="4"/>
      <c r="K807" s="4"/>
      <c r="L807" s="5"/>
      <c r="M807" s="3"/>
    </row>
    <row r="808" spans="1:13" ht="28.8" x14ac:dyDescent="0.3">
      <c r="A808" s="2">
        <v>807</v>
      </c>
      <c r="B808" s="2" t="s">
        <v>1055</v>
      </c>
      <c r="C808" s="2" t="s">
        <v>1073</v>
      </c>
      <c r="D808" s="2">
        <v>3095</v>
      </c>
      <c r="E808" s="3" t="s">
        <v>1595</v>
      </c>
      <c r="F808" s="3" t="s">
        <v>1635</v>
      </c>
      <c r="G808" s="3" t="s">
        <v>1636</v>
      </c>
      <c r="H808" s="2" t="s">
        <v>1598</v>
      </c>
      <c r="I808" s="4"/>
      <c r="J808" s="4"/>
      <c r="K808" s="4"/>
      <c r="L808" s="5"/>
      <c r="M808" s="3"/>
    </row>
    <row r="809" spans="1:13" ht="28.8" x14ac:dyDescent="0.3">
      <c r="A809" s="2">
        <v>808</v>
      </c>
      <c r="B809" s="2" t="s">
        <v>1055</v>
      </c>
      <c r="C809" s="2" t="s">
        <v>1073</v>
      </c>
      <c r="D809" s="2">
        <v>3103</v>
      </c>
      <c r="E809" s="3" t="s">
        <v>1595</v>
      </c>
      <c r="F809" s="3" t="s">
        <v>1637</v>
      </c>
      <c r="G809" s="3" t="s">
        <v>1638</v>
      </c>
      <c r="H809" s="2" t="s">
        <v>1598</v>
      </c>
      <c r="I809" s="4"/>
      <c r="J809" s="4"/>
      <c r="K809" s="4"/>
      <c r="L809" s="5"/>
      <c r="M809" s="3"/>
    </row>
    <row r="810" spans="1:13" x14ac:dyDescent="0.3">
      <c r="A810" s="2">
        <v>809</v>
      </c>
      <c r="B810" s="2" t="s">
        <v>1055</v>
      </c>
      <c r="C810" s="2" t="s">
        <v>1073</v>
      </c>
      <c r="D810" s="2">
        <v>3121</v>
      </c>
      <c r="E810" s="3" t="s">
        <v>1595</v>
      </c>
      <c r="F810" s="3" t="s">
        <v>1639</v>
      </c>
      <c r="G810" s="3" t="s">
        <v>1640</v>
      </c>
      <c r="H810" s="2" t="s">
        <v>1598</v>
      </c>
      <c r="I810" s="4"/>
      <c r="J810" s="4"/>
      <c r="K810" s="4"/>
      <c r="L810" s="5"/>
      <c r="M810" s="3"/>
    </row>
    <row r="811" spans="1:13" x14ac:dyDescent="0.3">
      <c r="A811" s="2">
        <v>810</v>
      </c>
      <c r="B811" s="2" t="s">
        <v>1055</v>
      </c>
      <c r="C811" s="2" t="s">
        <v>1073</v>
      </c>
      <c r="D811" s="2">
        <v>3131</v>
      </c>
      <c r="E811" s="3" t="s">
        <v>1595</v>
      </c>
      <c r="F811" s="3" t="s">
        <v>1641</v>
      </c>
      <c r="G811" s="3" t="s">
        <v>1642</v>
      </c>
      <c r="H811" s="2" t="s">
        <v>1598</v>
      </c>
      <c r="I811" s="4"/>
      <c r="J811" s="4"/>
      <c r="K811" s="4"/>
      <c r="L811" s="5"/>
      <c r="M811" s="3"/>
    </row>
    <row r="812" spans="1:13" ht="28.8" x14ac:dyDescent="0.3">
      <c r="A812" s="2">
        <v>811</v>
      </c>
      <c r="B812" s="2" t="s">
        <v>1055</v>
      </c>
      <c r="C812" s="2" t="s">
        <v>1073</v>
      </c>
      <c r="D812" s="2">
        <v>3146</v>
      </c>
      <c r="E812" s="3" t="s">
        <v>1595</v>
      </c>
      <c r="F812" s="3" t="s">
        <v>1643</v>
      </c>
      <c r="G812" s="3" t="s">
        <v>1644</v>
      </c>
      <c r="H812" s="2" t="s">
        <v>1598</v>
      </c>
      <c r="I812" s="4"/>
      <c r="J812" s="4"/>
      <c r="K812" s="4"/>
      <c r="L812" s="5"/>
      <c r="M812" s="3"/>
    </row>
    <row r="813" spans="1:13" ht="28.8" x14ac:dyDescent="0.3">
      <c r="A813" s="2">
        <v>812</v>
      </c>
      <c r="B813" s="2" t="s">
        <v>1055</v>
      </c>
      <c r="C813" s="2" t="s">
        <v>1073</v>
      </c>
      <c r="D813" s="2">
        <v>3159</v>
      </c>
      <c r="E813" s="3" t="s">
        <v>1595</v>
      </c>
      <c r="F813" s="3" t="s">
        <v>1645</v>
      </c>
      <c r="G813" s="3" t="s">
        <v>1646</v>
      </c>
      <c r="H813" s="2" t="s">
        <v>1598</v>
      </c>
      <c r="I813" s="4"/>
      <c r="J813" s="4"/>
      <c r="K813" s="4"/>
      <c r="L813" s="5"/>
      <c r="M813" s="3"/>
    </row>
    <row r="814" spans="1:13" x14ac:dyDescent="0.3">
      <c r="A814" s="2">
        <v>813</v>
      </c>
      <c r="B814" s="2" t="s">
        <v>1055</v>
      </c>
      <c r="C814" s="2" t="s">
        <v>1073</v>
      </c>
      <c r="D814" s="2">
        <v>3169</v>
      </c>
      <c r="E814" s="3" t="s">
        <v>1595</v>
      </c>
      <c r="F814" s="3" t="s">
        <v>1647</v>
      </c>
      <c r="G814" s="3" t="s">
        <v>1648</v>
      </c>
      <c r="H814" s="2" t="s">
        <v>1598</v>
      </c>
      <c r="I814" s="4"/>
      <c r="J814" s="4"/>
      <c r="K814" s="4"/>
      <c r="L814" s="5"/>
      <c r="M814" s="3"/>
    </row>
    <row r="815" spans="1:13" ht="28.8" x14ac:dyDescent="0.3">
      <c r="A815" s="2">
        <v>814</v>
      </c>
      <c r="B815" s="2" t="s">
        <v>1055</v>
      </c>
      <c r="C815" s="2" t="s">
        <v>1073</v>
      </c>
      <c r="D815" s="2">
        <v>3178</v>
      </c>
      <c r="E815" s="3" t="s">
        <v>1595</v>
      </c>
      <c r="F815" s="3" t="s">
        <v>1649</v>
      </c>
      <c r="G815" s="3" t="s">
        <v>1650</v>
      </c>
      <c r="H815" s="2" t="s">
        <v>1598</v>
      </c>
      <c r="I815" s="4"/>
      <c r="J815" s="4"/>
      <c r="K815" s="4"/>
      <c r="L815" s="5"/>
      <c r="M815" s="3"/>
    </row>
    <row r="816" spans="1:13" ht="28.8" x14ac:dyDescent="0.3">
      <c r="A816" s="2">
        <v>815</v>
      </c>
      <c r="B816" s="2" t="s">
        <v>1055</v>
      </c>
      <c r="C816" s="2" t="s">
        <v>1073</v>
      </c>
      <c r="D816" s="2">
        <v>3193</v>
      </c>
      <c r="E816" s="3" t="s">
        <v>1595</v>
      </c>
      <c r="F816" s="3" t="s">
        <v>1651</v>
      </c>
      <c r="G816" s="3" t="s">
        <v>1652</v>
      </c>
      <c r="H816" s="2" t="s">
        <v>1598</v>
      </c>
      <c r="I816" s="4"/>
      <c r="J816" s="4"/>
      <c r="K816" s="4"/>
      <c r="L816" s="5"/>
      <c r="M816" s="3"/>
    </row>
    <row r="817" spans="1:13" x14ac:dyDescent="0.3">
      <c r="A817" s="2">
        <v>816</v>
      </c>
      <c r="B817" s="2" t="s">
        <v>1055</v>
      </c>
      <c r="C817" s="2" t="s">
        <v>1073</v>
      </c>
      <c r="D817" s="2">
        <v>3205</v>
      </c>
      <c r="E817" s="3" t="s">
        <v>1595</v>
      </c>
      <c r="F817" s="3" t="s">
        <v>1653</v>
      </c>
      <c r="G817" s="3" t="s">
        <v>1654</v>
      </c>
      <c r="H817" s="2" t="s">
        <v>1598</v>
      </c>
      <c r="I817" s="4"/>
      <c r="J817" s="4"/>
      <c r="K817" s="4"/>
      <c r="L817" s="5"/>
      <c r="M817" s="3"/>
    </row>
    <row r="818" spans="1:13" ht="28.8" x14ac:dyDescent="0.3">
      <c r="A818" s="2">
        <v>817</v>
      </c>
      <c r="B818" s="2" t="s">
        <v>1055</v>
      </c>
      <c r="C818" s="2" t="s">
        <v>1073</v>
      </c>
      <c r="D818" s="2">
        <v>3212</v>
      </c>
      <c r="E818" s="3" t="s">
        <v>1595</v>
      </c>
      <c r="F818" s="3" t="s">
        <v>1655</v>
      </c>
      <c r="G818" s="3" t="s">
        <v>1656</v>
      </c>
      <c r="H818" s="2" t="s">
        <v>1598</v>
      </c>
      <c r="I818" s="4"/>
      <c r="J818" s="4"/>
      <c r="K818" s="4"/>
      <c r="L818" s="5"/>
      <c r="M818" s="3"/>
    </row>
    <row r="819" spans="1:13" x14ac:dyDescent="0.3">
      <c r="A819" s="2">
        <v>818</v>
      </c>
      <c r="B819" s="2" t="s">
        <v>1055</v>
      </c>
      <c r="C819" s="2" t="s">
        <v>1073</v>
      </c>
      <c r="D819" s="2">
        <v>3222</v>
      </c>
      <c r="E819" s="3" t="s">
        <v>1595</v>
      </c>
      <c r="F819" s="3" t="s">
        <v>1657</v>
      </c>
      <c r="G819" s="3" t="s">
        <v>1658</v>
      </c>
      <c r="H819" s="2" t="s">
        <v>1598</v>
      </c>
      <c r="I819" s="4"/>
      <c r="J819" s="4"/>
      <c r="K819" s="4"/>
      <c r="L819" s="5"/>
      <c r="M819" s="3"/>
    </row>
    <row r="820" spans="1:13" ht="28.8" x14ac:dyDescent="0.3">
      <c r="A820" s="2">
        <v>819</v>
      </c>
      <c r="B820" s="2" t="s">
        <v>1055</v>
      </c>
      <c r="C820" s="2" t="s">
        <v>1073</v>
      </c>
      <c r="D820" s="2">
        <v>3232</v>
      </c>
      <c r="E820" s="3" t="s">
        <v>1595</v>
      </c>
      <c r="F820" s="3" t="s">
        <v>1659</v>
      </c>
      <c r="G820" s="3" t="s">
        <v>1660</v>
      </c>
      <c r="H820" s="2" t="s">
        <v>1598</v>
      </c>
      <c r="I820" s="4"/>
      <c r="J820" s="4"/>
      <c r="K820" s="4"/>
      <c r="L820" s="5"/>
      <c r="M820" s="3"/>
    </row>
    <row r="821" spans="1:13" x14ac:dyDescent="0.3">
      <c r="A821" s="2">
        <v>820</v>
      </c>
      <c r="B821" s="2" t="s">
        <v>1055</v>
      </c>
      <c r="C821" s="2" t="s">
        <v>1073</v>
      </c>
      <c r="D821" s="2">
        <v>3242</v>
      </c>
      <c r="E821" s="3" t="s">
        <v>1595</v>
      </c>
      <c r="F821" s="3" t="s">
        <v>1661</v>
      </c>
      <c r="G821" s="3" t="s">
        <v>1662</v>
      </c>
      <c r="H821" s="2" t="s">
        <v>1598</v>
      </c>
      <c r="I821" s="4"/>
      <c r="J821" s="4"/>
      <c r="K821" s="4"/>
      <c r="L821" s="5"/>
      <c r="M821" s="3"/>
    </row>
    <row r="822" spans="1:13" x14ac:dyDescent="0.3">
      <c r="A822" s="2">
        <v>821</v>
      </c>
      <c r="B822" s="2" t="s">
        <v>1055</v>
      </c>
      <c r="C822" s="2" t="s">
        <v>1073</v>
      </c>
      <c r="D822" s="2">
        <v>3254</v>
      </c>
      <c r="E822" s="3" t="s">
        <v>1595</v>
      </c>
      <c r="F822" s="3" t="s">
        <v>1663</v>
      </c>
      <c r="G822" s="3" t="s">
        <v>1664</v>
      </c>
      <c r="H822" s="2" t="s">
        <v>1598</v>
      </c>
      <c r="I822" s="4"/>
      <c r="J822" s="4"/>
      <c r="K822" s="4"/>
      <c r="L822" s="5"/>
      <c r="M822" s="3"/>
    </row>
    <row r="823" spans="1:13" ht="28.8" x14ac:dyDescent="0.3">
      <c r="A823" s="2">
        <v>822</v>
      </c>
      <c r="B823" s="2" t="s">
        <v>1055</v>
      </c>
      <c r="C823" s="2" t="s">
        <v>1073</v>
      </c>
      <c r="D823" s="2">
        <v>3265</v>
      </c>
      <c r="E823" s="3" t="s">
        <v>1595</v>
      </c>
      <c r="F823" s="3" t="s">
        <v>1665</v>
      </c>
      <c r="G823" s="3" t="s">
        <v>1666</v>
      </c>
      <c r="H823" s="2" t="s">
        <v>1598</v>
      </c>
      <c r="I823" s="4"/>
      <c r="J823" s="4"/>
      <c r="K823" s="4"/>
      <c r="L823" s="5"/>
      <c r="M823" s="3"/>
    </row>
    <row r="824" spans="1:13" x14ac:dyDescent="0.3">
      <c r="A824" s="2">
        <v>823</v>
      </c>
      <c r="B824" s="2" t="s">
        <v>1055</v>
      </c>
      <c r="C824" s="2" t="s">
        <v>1073</v>
      </c>
      <c r="D824" s="2">
        <v>3279</v>
      </c>
      <c r="E824" s="3" t="s">
        <v>1595</v>
      </c>
      <c r="F824" s="3" t="s">
        <v>1667</v>
      </c>
      <c r="G824" s="3" t="s">
        <v>1668</v>
      </c>
      <c r="H824" s="2" t="s">
        <v>1598</v>
      </c>
      <c r="I824" s="4"/>
      <c r="J824" s="4"/>
      <c r="K824" s="4"/>
      <c r="L824" s="5"/>
      <c r="M824" s="3"/>
    </row>
    <row r="825" spans="1:13" ht="28.8" x14ac:dyDescent="0.3">
      <c r="A825" s="2">
        <v>824</v>
      </c>
      <c r="B825" s="2" t="s">
        <v>1055</v>
      </c>
      <c r="C825" s="2" t="s">
        <v>1073</v>
      </c>
      <c r="D825" s="2">
        <v>3294</v>
      </c>
      <c r="E825" s="3" t="s">
        <v>1595</v>
      </c>
      <c r="F825" s="3" t="s">
        <v>1669</v>
      </c>
      <c r="G825" s="3" t="s">
        <v>1670</v>
      </c>
      <c r="H825" s="2" t="s">
        <v>1598</v>
      </c>
      <c r="I825" s="4"/>
      <c r="J825" s="4"/>
      <c r="K825" s="4"/>
      <c r="L825" s="5"/>
      <c r="M825" s="3"/>
    </row>
    <row r="826" spans="1:13" x14ac:dyDescent="0.3">
      <c r="A826" s="2">
        <v>825</v>
      </c>
      <c r="B826" s="2" t="s">
        <v>1055</v>
      </c>
      <c r="C826" s="2" t="s">
        <v>1073</v>
      </c>
      <c r="D826" s="2">
        <v>3303</v>
      </c>
      <c r="E826" s="3" t="s">
        <v>1595</v>
      </c>
      <c r="F826" s="3" t="s">
        <v>1671</v>
      </c>
      <c r="G826" s="3" t="s">
        <v>1672</v>
      </c>
      <c r="H826" s="2" t="s">
        <v>1598</v>
      </c>
      <c r="I826" s="4"/>
      <c r="J826" s="4"/>
      <c r="K826" s="4"/>
      <c r="L826" s="5"/>
      <c r="M826" s="3"/>
    </row>
    <row r="827" spans="1:13" x14ac:dyDescent="0.3">
      <c r="A827" s="2">
        <v>826</v>
      </c>
      <c r="B827" s="2" t="s">
        <v>1055</v>
      </c>
      <c r="C827" s="2" t="s">
        <v>1073</v>
      </c>
      <c r="D827" s="2">
        <v>3315</v>
      </c>
      <c r="E827" s="3" t="s">
        <v>1595</v>
      </c>
      <c r="F827" s="3" t="s">
        <v>1673</v>
      </c>
      <c r="G827" s="3" t="s">
        <v>1674</v>
      </c>
      <c r="H827" s="2" t="s">
        <v>1598</v>
      </c>
      <c r="I827" s="4"/>
      <c r="J827" s="4"/>
      <c r="K827" s="4"/>
      <c r="L827" s="5"/>
      <c r="M827" s="3"/>
    </row>
    <row r="828" spans="1:13" ht="28.8" x14ac:dyDescent="0.3">
      <c r="A828" s="2">
        <v>827</v>
      </c>
      <c r="B828" s="2" t="s">
        <v>1055</v>
      </c>
      <c r="C828" s="2" t="s">
        <v>1073</v>
      </c>
      <c r="D828" s="2">
        <v>3327</v>
      </c>
      <c r="E828" s="3" t="s">
        <v>1595</v>
      </c>
      <c r="F828" s="3" t="s">
        <v>1675</v>
      </c>
      <c r="G828" s="3" t="s">
        <v>1676</v>
      </c>
      <c r="H828" s="2" t="s">
        <v>1598</v>
      </c>
      <c r="I828" s="4"/>
      <c r="J828" s="4"/>
      <c r="K828" s="4"/>
      <c r="L828" s="5"/>
      <c r="M828" s="3"/>
    </row>
    <row r="829" spans="1:13" ht="28.8" x14ac:dyDescent="0.3">
      <c r="A829" s="2">
        <v>828</v>
      </c>
      <c r="B829" s="2" t="s">
        <v>1055</v>
      </c>
      <c r="C829" s="2" t="s">
        <v>1073</v>
      </c>
      <c r="D829" s="2">
        <v>3337</v>
      </c>
      <c r="E829" s="3" t="s">
        <v>1595</v>
      </c>
      <c r="F829" s="3" t="s">
        <v>1677</v>
      </c>
      <c r="G829" s="3" t="s">
        <v>1678</v>
      </c>
      <c r="H829" s="2" t="s">
        <v>1598</v>
      </c>
      <c r="I829" s="4"/>
      <c r="J829" s="4"/>
      <c r="K829" s="4"/>
      <c r="L829" s="5"/>
      <c r="M829" s="3"/>
    </row>
    <row r="830" spans="1:13" ht="28.8" x14ac:dyDescent="0.3">
      <c r="A830" s="2">
        <v>829</v>
      </c>
      <c r="B830" s="2" t="s">
        <v>1055</v>
      </c>
      <c r="C830" s="2" t="s">
        <v>1073</v>
      </c>
      <c r="D830" s="2">
        <v>3348</v>
      </c>
      <c r="E830" s="3" t="s">
        <v>1595</v>
      </c>
      <c r="F830" s="3" t="s">
        <v>1679</v>
      </c>
      <c r="G830" s="3" t="s">
        <v>1680</v>
      </c>
      <c r="H830" s="2" t="s">
        <v>1598</v>
      </c>
      <c r="I830" s="4"/>
      <c r="J830" s="4"/>
      <c r="K830" s="4"/>
      <c r="L830" s="5"/>
      <c r="M830" s="3"/>
    </row>
    <row r="831" spans="1:13" ht="28.8" x14ac:dyDescent="0.3">
      <c r="A831" s="2">
        <v>830</v>
      </c>
      <c r="B831" s="2" t="s">
        <v>1055</v>
      </c>
      <c r="C831" s="2" t="s">
        <v>1073</v>
      </c>
      <c r="D831" s="2">
        <v>3367</v>
      </c>
      <c r="E831" s="3" t="s">
        <v>1595</v>
      </c>
      <c r="F831" s="3" t="s">
        <v>1681</v>
      </c>
      <c r="G831" s="3" t="s">
        <v>1682</v>
      </c>
      <c r="H831" s="2" t="s">
        <v>1598</v>
      </c>
      <c r="I831" s="4"/>
      <c r="J831" s="4"/>
      <c r="K831" s="4"/>
      <c r="L831" s="5"/>
      <c r="M831" s="3"/>
    </row>
    <row r="832" spans="1:13" x14ac:dyDescent="0.3">
      <c r="A832" s="2">
        <v>831</v>
      </c>
      <c r="B832" s="2" t="s">
        <v>1055</v>
      </c>
      <c r="C832" s="2" t="s">
        <v>1073</v>
      </c>
      <c r="D832" s="2">
        <v>3384</v>
      </c>
      <c r="E832" s="3" t="s">
        <v>1595</v>
      </c>
      <c r="F832" s="3" t="s">
        <v>1683</v>
      </c>
      <c r="G832" s="3" t="s">
        <v>1684</v>
      </c>
      <c r="H832" s="2" t="s">
        <v>1598</v>
      </c>
      <c r="I832" s="4"/>
      <c r="J832" s="4"/>
      <c r="K832" s="4"/>
      <c r="L832" s="5"/>
      <c r="M832" s="3"/>
    </row>
    <row r="833" spans="1:13" x14ac:dyDescent="0.3">
      <c r="A833" s="2">
        <v>832</v>
      </c>
      <c r="B833" s="2" t="s">
        <v>1055</v>
      </c>
      <c r="C833" s="2" t="s">
        <v>1073</v>
      </c>
      <c r="D833" s="2">
        <v>3384</v>
      </c>
      <c r="E833" s="3" t="s">
        <v>1595</v>
      </c>
      <c r="F833" s="3" t="s">
        <v>1685</v>
      </c>
      <c r="G833" s="3" t="s">
        <v>1686</v>
      </c>
      <c r="H833" s="2" t="s">
        <v>1598</v>
      </c>
      <c r="I833" s="4"/>
      <c r="J833" s="4"/>
      <c r="K833" s="4"/>
      <c r="L833" s="5"/>
      <c r="M833" s="3"/>
    </row>
    <row r="834" spans="1:13" x14ac:dyDescent="0.3">
      <c r="A834" s="2">
        <v>833</v>
      </c>
      <c r="B834" s="2" t="s">
        <v>1055</v>
      </c>
      <c r="C834" s="2" t="s">
        <v>1073</v>
      </c>
      <c r="D834" s="2">
        <v>3395</v>
      </c>
      <c r="E834" s="3" t="s">
        <v>1595</v>
      </c>
      <c r="F834" s="3" t="s">
        <v>1687</v>
      </c>
      <c r="G834" s="3" t="s">
        <v>1688</v>
      </c>
      <c r="H834" s="2" t="s">
        <v>1598</v>
      </c>
      <c r="I834" s="4"/>
      <c r="J834" s="4"/>
      <c r="K834" s="4"/>
      <c r="L834" s="5"/>
      <c r="M834" s="3"/>
    </row>
    <row r="835" spans="1:13" ht="28.8" x14ac:dyDescent="0.3">
      <c r="A835" s="2">
        <v>834</v>
      </c>
      <c r="B835" s="2" t="s">
        <v>1055</v>
      </c>
      <c r="C835" s="2" t="s">
        <v>1073</v>
      </c>
      <c r="D835" s="2">
        <v>3408</v>
      </c>
      <c r="E835" s="3" t="s">
        <v>1595</v>
      </c>
      <c r="F835" s="3" t="s">
        <v>1689</v>
      </c>
      <c r="G835" s="3" t="s">
        <v>1690</v>
      </c>
      <c r="H835" s="2" t="s">
        <v>1598</v>
      </c>
      <c r="I835" s="4"/>
      <c r="J835" s="4"/>
      <c r="K835" s="4"/>
      <c r="L835" s="5"/>
      <c r="M835" s="3"/>
    </row>
    <row r="836" spans="1:13" ht="28.8" x14ac:dyDescent="0.3">
      <c r="A836" s="2">
        <v>835</v>
      </c>
      <c r="B836" s="2" t="s">
        <v>1055</v>
      </c>
      <c r="C836" s="2" t="s">
        <v>1073</v>
      </c>
      <c r="D836" s="2">
        <v>3425</v>
      </c>
      <c r="E836" s="3" t="s">
        <v>1595</v>
      </c>
      <c r="F836" s="3" t="s">
        <v>1691</v>
      </c>
      <c r="G836" s="3" t="s">
        <v>1692</v>
      </c>
      <c r="H836" s="2" t="s">
        <v>1598</v>
      </c>
      <c r="I836" s="4"/>
      <c r="J836" s="4"/>
      <c r="K836" s="4"/>
      <c r="L836" s="5"/>
      <c r="M836" s="3"/>
    </row>
    <row r="837" spans="1:13" x14ac:dyDescent="0.3">
      <c r="A837" s="2">
        <v>836</v>
      </c>
      <c r="B837" s="2" t="s">
        <v>1055</v>
      </c>
      <c r="C837" s="2" t="s">
        <v>1073</v>
      </c>
      <c r="D837" s="2">
        <v>3439</v>
      </c>
      <c r="E837" s="3" t="s">
        <v>1595</v>
      </c>
      <c r="F837" s="3" t="s">
        <v>1693</v>
      </c>
      <c r="G837" s="3" t="s">
        <v>1694</v>
      </c>
      <c r="H837" s="2" t="s">
        <v>1598</v>
      </c>
      <c r="I837" s="4"/>
      <c r="J837" s="4"/>
      <c r="K837" s="4"/>
      <c r="L837" s="5"/>
      <c r="M837" s="3"/>
    </row>
    <row r="838" spans="1:13" ht="28.8" x14ac:dyDescent="0.3">
      <c r="A838" s="2">
        <v>837</v>
      </c>
      <c r="B838" s="2" t="s">
        <v>1055</v>
      </c>
      <c r="C838" s="2" t="s">
        <v>1073</v>
      </c>
      <c r="D838" s="2">
        <v>3449</v>
      </c>
      <c r="E838" s="3" t="s">
        <v>1595</v>
      </c>
      <c r="F838" s="3" t="s">
        <v>1695</v>
      </c>
      <c r="G838" s="3" t="s">
        <v>1696</v>
      </c>
      <c r="H838" s="2" t="s">
        <v>1598</v>
      </c>
      <c r="I838" s="4"/>
      <c r="J838" s="4"/>
      <c r="K838" s="4"/>
      <c r="L838" s="5"/>
      <c r="M838" s="3"/>
    </row>
    <row r="839" spans="1:13" ht="28.8" x14ac:dyDescent="0.3">
      <c r="A839" s="2">
        <v>838</v>
      </c>
      <c r="B839" s="2" t="s">
        <v>1055</v>
      </c>
      <c r="C839" s="2" t="s">
        <v>1073</v>
      </c>
      <c r="D839" s="2">
        <v>3461</v>
      </c>
      <c r="E839" s="3" t="s">
        <v>1595</v>
      </c>
      <c r="F839" s="3" t="s">
        <v>1697</v>
      </c>
      <c r="G839" s="3" t="s">
        <v>1698</v>
      </c>
      <c r="H839" s="2" t="s">
        <v>1598</v>
      </c>
      <c r="I839" s="4"/>
      <c r="J839" s="4"/>
      <c r="K839" s="4"/>
      <c r="L839" s="5"/>
      <c r="M839" s="3"/>
    </row>
    <row r="840" spans="1:13" x14ac:dyDescent="0.3">
      <c r="A840" s="2">
        <v>839</v>
      </c>
      <c r="B840" s="2" t="s">
        <v>1055</v>
      </c>
      <c r="C840" s="2" t="s">
        <v>1073</v>
      </c>
      <c r="D840" s="2">
        <v>3490</v>
      </c>
      <c r="E840" s="3" t="s">
        <v>1595</v>
      </c>
      <c r="F840" s="3" t="s">
        <v>1699</v>
      </c>
      <c r="G840" s="3" t="s">
        <v>1700</v>
      </c>
      <c r="H840" s="2"/>
      <c r="I840" s="4"/>
      <c r="J840" s="4"/>
      <c r="K840" s="4"/>
      <c r="L840" s="5"/>
      <c r="M840" s="3"/>
    </row>
    <row r="841" spans="1:13" x14ac:dyDescent="0.3">
      <c r="A841" s="2">
        <v>840</v>
      </c>
      <c r="B841" s="2" t="s">
        <v>1055</v>
      </c>
      <c r="C841" s="2" t="s">
        <v>1073</v>
      </c>
      <c r="D841" s="2">
        <v>3490</v>
      </c>
      <c r="E841" s="3" t="s">
        <v>1595</v>
      </c>
      <c r="F841" s="3" t="s">
        <v>1701</v>
      </c>
      <c r="G841" s="3" t="s">
        <v>1702</v>
      </c>
      <c r="H841" s="2"/>
      <c r="I841" s="4"/>
      <c r="J841" s="4"/>
      <c r="K841" s="4"/>
      <c r="L841" s="5"/>
      <c r="M841" s="3"/>
    </row>
    <row r="842" spans="1:13" x14ac:dyDescent="0.3">
      <c r="A842" s="2">
        <v>841</v>
      </c>
      <c r="B842" s="2" t="s">
        <v>1055</v>
      </c>
      <c r="C842" s="2" t="s">
        <v>1073</v>
      </c>
      <c r="D842" s="2">
        <v>3490</v>
      </c>
      <c r="E842" s="3" t="s">
        <v>1595</v>
      </c>
      <c r="F842" s="3" t="s">
        <v>1703</v>
      </c>
      <c r="G842" s="3" t="s">
        <v>1704</v>
      </c>
      <c r="H842" s="2"/>
      <c r="I842" s="4"/>
      <c r="J842" s="4"/>
      <c r="K842" s="4"/>
      <c r="L842" s="5"/>
      <c r="M842" s="3"/>
    </row>
    <row r="843" spans="1:13" ht="28.8" x14ac:dyDescent="0.3">
      <c r="A843" s="2">
        <v>842</v>
      </c>
      <c r="B843" s="2" t="s">
        <v>1055</v>
      </c>
      <c r="C843" s="2" t="s">
        <v>1073</v>
      </c>
      <c r="D843" s="2">
        <v>3490</v>
      </c>
      <c r="E843" s="3" t="s">
        <v>1595</v>
      </c>
      <c r="F843" s="3" t="s">
        <v>1705</v>
      </c>
      <c r="G843" s="3" t="s">
        <v>1706</v>
      </c>
      <c r="H843" s="2"/>
      <c r="I843" s="4"/>
      <c r="J843" s="4"/>
      <c r="K843" s="4"/>
      <c r="L843" s="5"/>
      <c r="M843" s="3"/>
    </row>
    <row r="844" spans="1:13" ht="28.8" x14ac:dyDescent="0.3">
      <c r="A844" s="2">
        <v>843</v>
      </c>
      <c r="B844" s="2" t="s">
        <v>1055</v>
      </c>
      <c r="C844" s="2" t="s">
        <v>1073</v>
      </c>
      <c r="D844" s="2">
        <v>3490</v>
      </c>
      <c r="E844" s="3" t="s">
        <v>1595</v>
      </c>
      <c r="F844" s="3" t="s">
        <v>1707</v>
      </c>
      <c r="G844" s="3" t="s">
        <v>1708</v>
      </c>
      <c r="H844" s="2"/>
      <c r="I844" s="4"/>
      <c r="J844" s="4"/>
      <c r="K844" s="4"/>
      <c r="L844" s="5"/>
      <c r="M844" s="3"/>
    </row>
    <row r="845" spans="1:13" ht="28.8" x14ac:dyDescent="0.3">
      <c r="A845" s="2">
        <v>844</v>
      </c>
      <c r="B845" s="2" t="s">
        <v>1055</v>
      </c>
      <c r="C845" s="2" t="s">
        <v>1073</v>
      </c>
      <c r="D845" s="2">
        <v>3490</v>
      </c>
      <c r="E845" s="3" t="s">
        <v>1595</v>
      </c>
      <c r="F845" s="3" t="s">
        <v>1709</v>
      </c>
      <c r="G845" s="3" t="s">
        <v>1710</v>
      </c>
      <c r="H845" s="2"/>
      <c r="I845" s="4"/>
      <c r="J845" s="4"/>
      <c r="K845" s="4"/>
      <c r="L845" s="5"/>
      <c r="M845" s="3"/>
    </row>
    <row r="846" spans="1:13" ht="28.8" x14ac:dyDescent="0.3">
      <c r="A846" s="2">
        <v>845</v>
      </c>
      <c r="B846" s="2" t="s">
        <v>1055</v>
      </c>
      <c r="C846" s="2" t="s">
        <v>1073</v>
      </c>
      <c r="D846" s="2">
        <v>3490</v>
      </c>
      <c r="E846" s="3" t="s">
        <v>1595</v>
      </c>
      <c r="F846" s="3" t="s">
        <v>1711</v>
      </c>
      <c r="G846" s="3" t="s">
        <v>1712</v>
      </c>
      <c r="H846" s="2"/>
      <c r="I846" s="4"/>
      <c r="J846" s="4"/>
      <c r="K846" s="4"/>
      <c r="L846" s="5"/>
      <c r="M846" s="3"/>
    </row>
    <row r="847" spans="1:13" x14ac:dyDescent="0.3">
      <c r="A847" s="2">
        <v>846</v>
      </c>
      <c r="B847" s="2" t="s">
        <v>1055</v>
      </c>
      <c r="C847" s="2" t="s">
        <v>1073</v>
      </c>
      <c r="D847" s="2">
        <v>3565</v>
      </c>
      <c r="E847" s="3" t="s">
        <v>1713</v>
      </c>
      <c r="F847" s="3" t="s">
        <v>1714</v>
      </c>
      <c r="G847" s="3" t="s">
        <v>1715</v>
      </c>
      <c r="H847" s="2" t="s">
        <v>1716</v>
      </c>
      <c r="I847" s="4"/>
      <c r="J847" s="4"/>
      <c r="K847" s="4"/>
      <c r="L847" s="5"/>
      <c r="M847" s="3"/>
    </row>
    <row r="848" spans="1:13" x14ac:dyDescent="0.3">
      <c r="A848" s="2">
        <v>847</v>
      </c>
      <c r="B848" s="2" t="s">
        <v>1055</v>
      </c>
      <c r="C848" s="2" t="s">
        <v>1073</v>
      </c>
      <c r="D848" s="2">
        <v>3576</v>
      </c>
      <c r="E848" s="3" t="s">
        <v>1713</v>
      </c>
      <c r="F848" s="3" t="s">
        <v>1717</v>
      </c>
      <c r="G848" s="3" t="s">
        <v>1718</v>
      </c>
      <c r="H848" s="2" t="s">
        <v>1716</v>
      </c>
      <c r="I848" s="4"/>
      <c r="J848" s="4"/>
      <c r="K848" s="4"/>
      <c r="L848" s="5"/>
      <c r="M848" s="3"/>
    </row>
    <row r="849" spans="1:13" x14ac:dyDescent="0.3">
      <c r="A849" s="2">
        <v>848</v>
      </c>
      <c r="B849" s="2" t="s">
        <v>1055</v>
      </c>
      <c r="C849" s="2" t="s">
        <v>1073</v>
      </c>
      <c r="D849" s="2">
        <v>3576</v>
      </c>
      <c r="E849" s="3" t="s">
        <v>1713</v>
      </c>
      <c r="F849" s="3" t="s">
        <v>1719</v>
      </c>
      <c r="G849" s="3" t="s">
        <v>1720</v>
      </c>
      <c r="H849" s="2" t="s">
        <v>1716</v>
      </c>
      <c r="I849" s="4"/>
      <c r="J849" s="4"/>
      <c r="K849" s="4"/>
      <c r="L849" s="5"/>
      <c r="M849" s="3"/>
    </row>
    <row r="850" spans="1:13" x14ac:dyDescent="0.3">
      <c r="A850" s="2">
        <v>849</v>
      </c>
      <c r="B850" s="2" t="s">
        <v>1055</v>
      </c>
      <c r="C850" s="2" t="s">
        <v>1073</v>
      </c>
      <c r="D850" s="2">
        <v>3591</v>
      </c>
      <c r="E850" s="3" t="s">
        <v>1713</v>
      </c>
      <c r="F850" s="3" t="s">
        <v>1721</v>
      </c>
      <c r="G850" s="3" t="s">
        <v>1722</v>
      </c>
      <c r="H850" s="2" t="s">
        <v>1716</v>
      </c>
      <c r="I850" s="4"/>
      <c r="J850" s="4"/>
      <c r="K850" s="4"/>
      <c r="L850" s="5"/>
      <c r="M850" s="3"/>
    </row>
    <row r="851" spans="1:13" x14ac:dyDescent="0.3">
      <c r="A851" s="2">
        <v>850</v>
      </c>
      <c r="B851" s="2" t="s">
        <v>1055</v>
      </c>
      <c r="C851" s="2" t="s">
        <v>1073</v>
      </c>
      <c r="D851" s="2">
        <v>3591</v>
      </c>
      <c r="E851" s="3" t="s">
        <v>1713</v>
      </c>
      <c r="F851" s="3" t="s">
        <v>1723</v>
      </c>
      <c r="G851" s="3" t="s">
        <v>1724</v>
      </c>
      <c r="H851" s="2" t="s">
        <v>1716</v>
      </c>
      <c r="I851" s="4"/>
      <c r="J851" s="4"/>
      <c r="K851" s="4"/>
      <c r="L851" s="5"/>
      <c r="M851" s="3"/>
    </row>
    <row r="852" spans="1:13" x14ac:dyDescent="0.3">
      <c r="A852" s="2">
        <v>851</v>
      </c>
      <c r="B852" s="2" t="s">
        <v>1055</v>
      </c>
      <c r="C852" s="2" t="s">
        <v>1073</v>
      </c>
      <c r="D852" s="2">
        <v>3605</v>
      </c>
      <c r="E852" s="3" t="s">
        <v>1713</v>
      </c>
      <c r="F852" s="3" t="s">
        <v>1725</v>
      </c>
      <c r="G852" s="3" t="s">
        <v>1726</v>
      </c>
      <c r="H852" s="2" t="s">
        <v>1716</v>
      </c>
      <c r="I852" s="4"/>
      <c r="J852" s="4"/>
      <c r="K852" s="4"/>
      <c r="L852" s="5"/>
      <c r="M852" s="3"/>
    </row>
    <row r="853" spans="1:13" x14ac:dyDescent="0.3">
      <c r="A853" s="2">
        <v>852</v>
      </c>
      <c r="B853" s="2" t="s">
        <v>1055</v>
      </c>
      <c r="C853" s="2" t="s">
        <v>1073</v>
      </c>
      <c r="D853" s="2">
        <v>3614</v>
      </c>
      <c r="E853" s="3" t="s">
        <v>1713</v>
      </c>
      <c r="F853" s="3" t="s">
        <v>1727</v>
      </c>
      <c r="G853" s="3" t="s">
        <v>1728</v>
      </c>
      <c r="H853" s="2" t="s">
        <v>1716</v>
      </c>
      <c r="I853" s="4"/>
      <c r="J853" s="4"/>
      <c r="K853" s="4"/>
      <c r="L853" s="5"/>
      <c r="M853" s="3"/>
    </row>
    <row r="854" spans="1:13" x14ac:dyDescent="0.3">
      <c r="A854" s="2">
        <v>853</v>
      </c>
      <c r="B854" s="2" t="s">
        <v>1055</v>
      </c>
      <c r="C854" s="2" t="s">
        <v>1073</v>
      </c>
      <c r="D854" s="2">
        <v>3625</v>
      </c>
      <c r="E854" s="3" t="s">
        <v>1713</v>
      </c>
      <c r="F854" s="3" t="s">
        <v>1729</v>
      </c>
      <c r="G854" s="3" t="s">
        <v>1730</v>
      </c>
      <c r="H854" s="2" t="s">
        <v>1716</v>
      </c>
      <c r="I854" s="4"/>
      <c r="J854" s="4"/>
      <c r="K854" s="4"/>
      <c r="L854" s="5"/>
      <c r="M854" s="3"/>
    </row>
    <row r="855" spans="1:13" x14ac:dyDescent="0.3">
      <c r="A855" s="2">
        <v>854</v>
      </c>
      <c r="B855" s="2" t="s">
        <v>1055</v>
      </c>
      <c r="C855" s="2" t="s">
        <v>1073</v>
      </c>
      <c r="D855" s="2">
        <v>3640</v>
      </c>
      <c r="E855" s="3" t="s">
        <v>1713</v>
      </c>
      <c r="F855" s="3" t="s">
        <v>1731</v>
      </c>
      <c r="G855" s="3" t="s">
        <v>1732</v>
      </c>
      <c r="H855" s="2" t="s">
        <v>1716</v>
      </c>
      <c r="I855" s="4"/>
      <c r="J855" s="4"/>
      <c r="K855" s="4"/>
      <c r="L855" s="5"/>
      <c r="M855" s="3"/>
    </row>
    <row r="856" spans="1:13" x14ac:dyDescent="0.3">
      <c r="A856" s="2">
        <v>855</v>
      </c>
      <c r="B856" s="2" t="s">
        <v>1055</v>
      </c>
      <c r="C856" s="2" t="s">
        <v>1073</v>
      </c>
      <c r="D856" s="2">
        <v>3649</v>
      </c>
      <c r="E856" s="3" t="s">
        <v>1713</v>
      </c>
      <c r="F856" s="3" t="s">
        <v>1733</v>
      </c>
      <c r="G856" s="3" t="s">
        <v>1734</v>
      </c>
      <c r="H856" s="2" t="s">
        <v>1716</v>
      </c>
      <c r="I856" s="4"/>
      <c r="J856" s="4"/>
      <c r="K856" s="4"/>
      <c r="L856" s="5"/>
      <c r="M856" s="3"/>
    </row>
    <row r="857" spans="1:13" x14ac:dyDescent="0.3">
      <c r="A857" s="2">
        <v>856</v>
      </c>
      <c r="B857" s="2" t="s">
        <v>1055</v>
      </c>
      <c r="C857" s="2" t="s">
        <v>1073</v>
      </c>
      <c r="D857" s="2">
        <v>3661</v>
      </c>
      <c r="E857" s="3" t="s">
        <v>1713</v>
      </c>
      <c r="F857" s="3" t="s">
        <v>1735</v>
      </c>
      <c r="G857" s="3" t="s">
        <v>1736</v>
      </c>
      <c r="H857" s="2" t="s">
        <v>1716</v>
      </c>
      <c r="I857" s="4"/>
      <c r="J857" s="4"/>
      <c r="K857" s="4"/>
      <c r="L857" s="5"/>
      <c r="M857" s="3"/>
    </row>
    <row r="858" spans="1:13" ht="28.8" x14ac:dyDescent="0.3">
      <c r="A858" s="2">
        <v>857</v>
      </c>
      <c r="B858" s="2" t="s">
        <v>1055</v>
      </c>
      <c r="C858" s="2" t="s">
        <v>1073</v>
      </c>
      <c r="D858" s="2">
        <v>3671</v>
      </c>
      <c r="E858" s="3" t="s">
        <v>1713</v>
      </c>
      <c r="F858" s="3" t="s">
        <v>1737</v>
      </c>
      <c r="G858" s="3" t="s">
        <v>1738</v>
      </c>
      <c r="H858" s="2" t="s">
        <v>1716</v>
      </c>
      <c r="I858" s="4"/>
      <c r="J858" s="4"/>
      <c r="K858" s="4"/>
      <c r="L858" s="5"/>
      <c r="M858" s="3"/>
    </row>
    <row r="859" spans="1:13" x14ac:dyDescent="0.3">
      <c r="A859" s="2">
        <v>858</v>
      </c>
      <c r="B859" s="2" t="s">
        <v>1055</v>
      </c>
      <c r="C859" s="2" t="s">
        <v>1073</v>
      </c>
      <c r="D859" s="2">
        <v>3681</v>
      </c>
      <c r="E859" s="3" t="s">
        <v>1713</v>
      </c>
      <c r="F859" s="3" t="s">
        <v>1739</v>
      </c>
      <c r="G859" s="3" t="s">
        <v>1740</v>
      </c>
      <c r="H859" s="2" t="s">
        <v>1716</v>
      </c>
      <c r="I859" s="4"/>
      <c r="J859" s="4"/>
      <c r="K859" s="4"/>
      <c r="L859" s="5"/>
      <c r="M859" s="3"/>
    </row>
    <row r="860" spans="1:13" x14ac:dyDescent="0.3">
      <c r="A860" s="2">
        <v>859</v>
      </c>
      <c r="B860" s="2" t="s">
        <v>1055</v>
      </c>
      <c r="C860" s="2" t="s">
        <v>1073</v>
      </c>
      <c r="D860" s="2">
        <v>3694</v>
      </c>
      <c r="E860" s="3" t="s">
        <v>1713</v>
      </c>
      <c r="F860" s="3" t="s">
        <v>1741</v>
      </c>
      <c r="G860" s="3" t="s">
        <v>1742</v>
      </c>
      <c r="H860" s="2" t="s">
        <v>1716</v>
      </c>
      <c r="I860" s="4"/>
      <c r="J860" s="4"/>
      <c r="K860" s="4"/>
      <c r="L860" s="5"/>
      <c r="M860" s="3"/>
    </row>
    <row r="861" spans="1:13" ht="28.8" x14ac:dyDescent="0.3">
      <c r="A861" s="2">
        <v>860</v>
      </c>
      <c r="B861" s="2" t="s">
        <v>1055</v>
      </c>
      <c r="C861" s="2" t="s">
        <v>1073</v>
      </c>
      <c r="D861" s="2">
        <v>3702</v>
      </c>
      <c r="E861" s="3" t="s">
        <v>1713</v>
      </c>
      <c r="F861" s="3" t="s">
        <v>1743</v>
      </c>
      <c r="G861" s="3" t="s">
        <v>1744</v>
      </c>
      <c r="H861" s="2" t="s">
        <v>1716</v>
      </c>
      <c r="I861" s="4"/>
      <c r="J861" s="4"/>
      <c r="K861" s="4"/>
      <c r="L861" s="5"/>
      <c r="M861" s="3"/>
    </row>
    <row r="862" spans="1:13" x14ac:dyDescent="0.3">
      <c r="A862" s="2">
        <v>861</v>
      </c>
      <c r="B862" s="2" t="s">
        <v>1055</v>
      </c>
      <c r="C862" s="2" t="s">
        <v>1073</v>
      </c>
      <c r="D862" s="2">
        <v>3710</v>
      </c>
      <c r="E862" s="3" t="s">
        <v>1713</v>
      </c>
      <c r="F862" s="3" t="s">
        <v>1745</v>
      </c>
      <c r="G862" s="3" t="s">
        <v>1746</v>
      </c>
      <c r="H862" s="2" t="s">
        <v>1716</v>
      </c>
      <c r="I862" s="4"/>
      <c r="J862" s="4"/>
      <c r="K862" s="4"/>
      <c r="L862" s="5"/>
      <c r="M862" s="3"/>
    </row>
    <row r="863" spans="1:13" x14ac:dyDescent="0.3">
      <c r="A863" s="2">
        <v>862</v>
      </c>
      <c r="B863" s="2" t="s">
        <v>1055</v>
      </c>
      <c r="C863" s="2" t="s">
        <v>1073</v>
      </c>
      <c r="D863" s="2">
        <v>3719</v>
      </c>
      <c r="E863" s="3" t="s">
        <v>1713</v>
      </c>
      <c r="F863" s="3" t="s">
        <v>1747</v>
      </c>
      <c r="G863" s="3" t="s">
        <v>1748</v>
      </c>
      <c r="H863" s="2" t="s">
        <v>1716</v>
      </c>
      <c r="I863" s="4"/>
      <c r="J863" s="4"/>
      <c r="K863" s="4"/>
      <c r="L863" s="5"/>
      <c r="M863" s="3"/>
    </row>
    <row r="864" spans="1:13" ht="28.8" x14ac:dyDescent="0.3">
      <c r="A864" s="2">
        <v>863</v>
      </c>
      <c r="B864" s="2" t="s">
        <v>1055</v>
      </c>
      <c r="C864" s="2" t="s">
        <v>1073</v>
      </c>
      <c r="D864" s="2">
        <v>3780</v>
      </c>
      <c r="E864" s="3" t="s">
        <v>1749</v>
      </c>
      <c r="F864" s="3" t="s">
        <v>1750</v>
      </c>
      <c r="G864" s="3" t="s">
        <v>1751</v>
      </c>
      <c r="H864" s="2" t="s">
        <v>1752</v>
      </c>
      <c r="I864" s="4"/>
      <c r="J864" s="4"/>
      <c r="K864" s="4"/>
      <c r="L864" s="5"/>
      <c r="M864" s="3"/>
    </row>
    <row r="865" spans="1:13" ht="28.8" x14ac:dyDescent="0.3">
      <c r="A865" s="2">
        <v>864</v>
      </c>
      <c r="B865" s="2" t="s">
        <v>1055</v>
      </c>
      <c r="C865" s="2" t="s">
        <v>1073</v>
      </c>
      <c r="D865" s="2">
        <v>3790</v>
      </c>
      <c r="E865" s="3" t="s">
        <v>1749</v>
      </c>
      <c r="F865" s="3" t="s">
        <v>1753</v>
      </c>
      <c r="G865" s="3" t="s">
        <v>1754</v>
      </c>
      <c r="H865" s="2" t="s">
        <v>1752</v>
      </c>
      <c r="I865" s="4"/>
      <c r="J865" s="4"/>
      <c r="K865" s="4"/>
      <c r="L865" s="5"/>
      <c r="M865" s="3"/>
    </row>
    <row r="866" spans="1:13" x14ac:dyDescent="0.3">
      <c r="A866" s="2">
        <v>865</v>
      </c>
      <c r="B866" s="2" t="s">
        <v>1055</v>
      </c>
      <c r="C866" s="2" t="s">
        <v>1073</v>
      </c>
      <c r="D866" s="2">
        <v>3798</v>
      </c>
      <c r="E866" s="3" t="s">
        <v>1749</v>
      </c>
      <c r="F866" s="3" t="s">
        <v>1755</v>
      </c>
      <c r="G866" s="3" t="s">
        <v>1756</v>
      </c>
      <c r="H866" s="2" t="s">
        <v>1752</v>
      </c>
      <c r="I866" s="4"/>
      <c r="J866" s="4"/>
      <c r="K866" s="4"/>
      <c r="L866" s="5"/>
      <c r="M866" s="3"/>
    </row>
    <row r="867" spans="1:13" x14ac:dyDescent="0.3">
      <c r="A867" s="2">
        <v>866</v>
      </c>
      <c r="B867" s="2" t="s">
        <v>1055</v>
      </c>
      <c r="C867" s="2" t="s">
        <v>1073</v>
      </c>
      <c r="D867" s="2">
        <v>3807</v>
      </c>
      <c r="E867" s="3" t="s">
        <v>1749</v>
      </c>
      <c r="F867" s="3" t="s">
        <v>1757</v>
      </c>
      <c r="G867" s="3" t="s">
        <v>1758</v>
      </c>
      <c r="H867" s="2" t="s">
        <v>1752</v>
      </c>
      <c r="I867" s="4"/>
      <c r="J867" s="4"/>
      <c r="K867" s="4"/>
      <c r="L867" s="5"/>
      <c r="M867" s="3"/>
    </row>
    <row r="868" spans="1:13" x14ac:dyDescent="0.3">
      <c r="A868" s="2">
        <v>867</v>
      </c>
      <c r="B868" s="2" t="s">
        <v>1055</v>
      </c>
      <c r="C868" s="2" t="s">
        <v>1073</v>
      </c>
      <c r="D868" s="2">
        <v>3807</v>
      </c>
      <c r="E868" s="3" t="s">
        <v>1749</v>
      </c>
      <c r="F868" s="3" t="s">
        <v>1759</v>
      </c>
      <c r="G868" s="3" t="s">
        <v>1760</v>
      </c>
      <c r="H868" s="2" t="s">
        <v>1752</v>
      </c>
      <c r="I868" s="4"/>
      <c r="J868" s="4"/>
      <c r="K868" s="4"/>
      <c r="L868" s="5"/>
      <c r="M868" s="3"/>
    </row>
    <row r="869" spans="1:13" x14ac:dyDescent="0.3">
      <c r="A869" s="2">
        <v>868</v>
      </c>
      <c r="B869" s="2" t="s">
        <v>1055</v>
      </c>
      <c r="C869" s="2" t="s">
        <v>1073</v>
      </c>
      <c r="D869" s="2">
        <v>3807</v>
      </c>
      <c r="E869" s="3" t="s">
        <v>1749</v>
      </c>
      <c r="F869" s="3" t="s">
        <v>1761</v>
      </c>
      <c r="G869" s="3" t="s">
        <v>1762</v>
      </c>
      <c r="H869" s="2" t="s">
        <v>1752</v>
      </c>
      <c r="I869" s="4"/>
      <c r="J869" s="4"/>
      <c r="K869" s="4"/>
      <c r="L869" s="5"/>
      <c r="M869" s="3"/>
    </row>
    <row r="870" spans="1:13" x14ac:dyDescent="0.3">
      <c r="A870" s="2">
        <v>869</v>
      </c>
      <c r="B870" s="2" t="s">
        <v>1055</v>
      </c>
      <c r="C870" s="2" t="s">
        <v>1073</v>
      </c>
      <c r="D870" s="2">
        <v>3813</v>
      </c>
      <c r="E870" s="3" t="s">
        <v>1749</v>
      </c>
      <c r="F870" s="3" t="s">
        <v>1763</v>
      </c>
      <c r="G870" s="3" t="s">
        <v>1764</v>
      </c>
      <c r="H870" s="2" t="s">
        <v>1752</v>
      </c>
      <c r="I870" s="4"/>
      <c r="J870" s="4"/>
      <c r="K870" s="4"/>
      <c r="L870" s="5"/>
      <c r="M870" s="3"/>
    </row>
    <row r="871" spans="1:13" x14ac:dyDescent="0.3">
      <c r="A871" s="2">
        <v>870</v>
      </c>
      <c r="B871" s="2" t="s">
        <v>1055</v>
      </c>
      <c r="C871" s="2" t="s">
        <v>1073</v>
      </c>
      <c r="D871" s="2">
        <v>3823</v>
      </c>
      <c r="E871" s="3" t="s">
        <v>1749</v>
      </c>
      <c r="F871" s="3" t="s">
        <v>1765</v>
      </c>
      <c r="G871" s="3" t="s">
        <v>1766</v>
      </c>
      <c r="H871" s="2" t="s">
        <v>1752</v>
      </c>
      <c r="I871" s="4"/>
      <c r="J871" s="4"/>
      <c r="K871" s="4"/>
      <c r="L871" s="5"/>
      <c r="M871" s="3"/>
    </row>
    <row r="872" spans="1:13" ht="28.8" x14ac:dyDescent="0.3">
      <c r="A872" s="2">
        <v>871</v>
      </c>
      <c r="B872" s="2" t="s">
        <v>1055</v>
      </c>
      <c r="C872" s="2" t="s">
        <v>1073</v>
      </c>
      <c r="D872" s="2">
        <v>3833</v>
      </c>
      <c r="E872" s="3" t="s">
        <v>1749</v>
      </c>
      <c r="F872" s="3" t="s">
        <v>1767</v>
      </c>
      <c r="G872" s="3" t="s">
        <v>1768</v>
      </c>
      <c r="H872" s="2" t="s">
        <v>1752</v>
      </c>
      <c r="I872" s="4"/>
      <c r="J872" s="4"/>
      <c r="K872" s="4"/>
      <c r="L872" s="5"/>
      <c r="M872" s="3"/>
    </row>
    <row r="873" spans="1:13" ht="28.8" x14ac:dyDescent="0.3">
      <c r="A873" s="2">
        <v>872</v>
      </c>
      <c r="B873" s="2" t="s">
        <v>1055</v>
      </c>
      <c r="C873" s="2" t="s">
        <v>1073</v>
      </c>
      <c r="D873" s="2">
        <v>3847</v>
      </c>
      <c r="E873" s="3" t="s">
        <v>1749</v>
      </c>
      <c r="F873" s="3" t="s">
        <v>1769</v>
      </c>
      <c r="G873" s="3" t="s">
        <v>1770</v>
      </c>
      <c r="H873" s="2" t="s">
        <v>1752</v>
      </c>
      <c r="I873" s="4"/>
      <c r="J873" s="4"/>
      <c r="K873" s="4"/>
      <c r="L873" s="5"/>
      <c r="M873" s="3"/>
    </row>
    <row r="874" spans="1:13" x14ac:dyDescent="0.3">
      <c r="A874" s="2">
        <v>873</v>
      </c>
      <c r="B874" s="2" t="s">
        <v>1055</v>
      </c>
      <c r="C874" s="2" t="s">
        <v>1073</v>
      </c>
      <c r="D874" s="2">
        <v>3858</v>
      </c>
      <c r="E874" s="3" t="s">
        <v>1749</v>
      </c>
      <c r="F874" s="3" t="s">
        <v>1771</v>
      </c>
      <c r="G874" s="3" t="s">
        <v>1772</v>
      </c>
      <c r="H874" s="2" t="s">
        <v>1752</v>
      </c>
      <c r="I874" s="4"/>
      <c r="J874" s="4"/>
      <c r="K874" s="4"/>
      <c r="L874" s="5"/>
      <c r="M874" s="3"/>
    </row>
    <row r="875" spans="1:13" ht="43.2" x14ac:dyDescent="0.3">
      <c r="A875" s="2">
        <v>874</v>
      </c>
      <c r="B875" s="2" t="s">
        <v>1055</v>
      </c>
      <c r="C875" s="2" t="s">
        <v>1073</v>
      </c>
      <c r="D875" s="2">
        <v>3864</v>
      </c>
      <c r="E875" s="3" t="s">
        <v>1749</v>
      </c>
      <c r="F875" s="3" t="s">
        <v>1773</v>
      </c>
      <c r="G875" s="3" t="s">
        <v>1774</v>
      </c>
      <c r="H875" s="2" t="s">
        <v>1752</v>
      </c>
      <c r="I875" s="4"/>
      <c r="J875" s="4"/>
      <c r="K875" s="4"/>
      <c r="L875" s="5"/>
      <c r="M875" s="3"/>
    </row>
    <row r="876" spans="1:13" ht="28.8" x14ac:dyDescent="0.3">
      <c r="A876" s="2">
        <v>875</v>
      </c>
      <c r="B876" s="2" t="s">
        <v>1055</v>
      </c>
      <c r="C876" s="2" t="s">
        <v>1073</v>
      </c>
      <c r="D876" s="2">
        <v>3879</v>
      </c>
      <c r="E876" s="3" t="s">
        <v>1749</v>
      </c>
      <c r="F876" s="3" t="s">
        <v>1775</v>
      </c>
      <c r="G876" s="3" t="s">
        <v>1776</v>
      </c>
      <c r="H876" s="2" t="s">
        <v>1752</v>
      </c>
      <c r="I876" s="4"/>
      <c r="J876" s="4"/>
      <c r="K876" s="4"/>
      <c r="L876" s="5"/>
      <c r="M876" s="3"/>
    </row>
    <row r="877" spans="1:13" ht="28.8" x14ac:dyDescent="0.3">
      <c r="A877" s="2">
        <v>876</v>
      </c>
      <c r="B877" s="2" t="s">
        <v>1055</v>
      </c>
      <c r="C877" s="2" t="s">
        <v>1073</v>
      </c>
      <c r="D877" s="2">
        <v>3887</v>
      </c>
      <c r="E877" s="3" t="s">
        <v>1749</v>
      </c>
      <c r="F877" s="3" t="s">
        <v>1777</v>
      </c>
      <c r="G877" s="3" t="s">
        <v>1778</v>
      </c>
      <c r="H877" s="2" t="s">
        <v>1752</v>
      </c>
      <c r="I877" s="4"/>
      <c r="J877" s="4"/>
      <c r="K877" s="4"/>
      <c r="L877" s="5"/>
      <c r="M877" s="3"/>
    </row>
    <row r="878" spans="1:13" ht="28.8" x14ac:dyDescent="0.3">
      <c r="A878" s="2">
        <v>877</v>
      </c>
      <c r="B878" s="2" t="s">
        <v>1055</v>
      </c>
      <c r="C878" s="2" t="s">
        <v>1073</v>
      </c>
      <c r="D878" s="2">
        <v>3894</v>
      </c>
      <c r="E878" s="3" t="s">
        <v>1749</v>
      </c>
      <c r="F878" s="3" t="s">
        <v>1779</v>
      </c>
      <c r="G878" s="3" t="s">
        <v>1780</v>
      </c>
      <c r="H878" s="2" t="s">
        <v>1752</v>
      </c>
      <c r="I878" s="4"/>
      <c r="J878" s="4"/>
      <c r="K878" s="4"/>
      <c r="L878" s="5"/>
      <c r="M878" s="3"/>
    </row>
    <row r="879" spans="1:13" x14ac:dyDescent="0.3">
      <c r="A879" s="2">
        <v>878</v>
      </c>
      <c r="B879" s="2" t="s">
        <v>1055</v>
      </c>
      <c r="C879" s="2" t="s">
        <v>1073</v>
      </c>
      <c r="D879" s="2">
        <v>3902</v>
      </c>
      <c r="E879" s="3" t="s">
        <v>1749</v>
      </c>
      <c r="F879" s="3" t="s">
        <v>1781</v>
      </c>
      <c r="G879" s="3" t="s">
        <v>1782</v>
      </c>
      <c r="H879" s="2" t="s">
        <v>1752</v>
      </c>
      <c r="I879" s="4"/>
      <c r="J879" s="4"/>
      <c r="K879" s="4"/>
      <c r="L879" s="5"/>
      <c r="M879" s="3"/>
    </row>
    <row r="880" spans="1:13" x14ac:dyDescent="0.3">
      <c r="A880" s="2">
        <v>879</v>
      </c>
      <c r="B880" s="2" t="s">
        <v>1055</v>
      </c>
      <c r="C880" s="2" t="s">
        <v>1073</v>
      </c>
      <c r="D880" s="2">
        <v>3902</v>
      </c>
      <c r="E880" s="3" t="s">
        <v>1749</v>
      </c>
      <c r="F880" s="3" t="s">
        <v>1783</v>
      </c>
      <c r="G880" s="3" t="s">
        <v>1784</v>
      </c>
      <c r="H880" s="2" t="s">
        <v>1752</v>
      </c>
      <c r="I880" s="4"/>
      <c r="J880" s="4"/>
      <c r="K880" s="4"/>
      <c r="L880" s="5"/>
      <c r="M880" s="3"/>
    </row>
    <row r="881" spans="1:13" x14ac:dyDescent="0.3">
      <c r="A881" s="2">
        <v>880</v>
      </c>
      <c r="B881" s="2" t="s">
        <v>1055</v>
      </c>
      <c r="C881" s="2" t="s">
        <v>1073</v>
      </c>
      <c r="D881" s="2">
        <v>3912</v>
      </c>
      <c r="E881" s="3" t="s">
        <v>1749</v>
      </c>
      <c r="F881" s="3" t="s">
        <v>1785</v>
      </c>
      <c r="G881" s="3" t="s">
        <v>1786</v>
      </c>
      <c r="H881" s="2" t="s">
        <v>1752</v>
      </c>
      <c r="I881" s="4"/>
      <c r="J881" s="4"/>
      <c r="K881" s="4"/>
      <c r="L881" s="5"/>
      <c r="M881" s="3"/>
    </row>
    <row r="882" spans="1:13" x14ac:dyDescent="0.3">
      <c r="A882" s="2">
        <v>881</v>
      </c>
      <c r="B882" s="2" t="s">
        <v>1055</v>
      </c>
      <c r="C882" s="2" t="s">
        <v>1073</v>
      </c>
      <c r="D882" s="2">
        <v>3917</v>
      </c>
      <c r="E882" s="3" t="s">
        <v>1749</v>
      </c>
      <c r="F882" s="3" t="s">
        <v>1787</v>
      </c>
      <c r="G882" s="3" t="s">
        <v>1788</v>
      </c>
      <c r="H882" s="2" t="s">
        <v>1752</v>
      </c>
      <c r="I882" s="4"/>
      <c r="J882" s="4"/>
      <c r="K882" s="4"/>
      <c r="L882" s="5"/>
      <c r="M882" s="3"/>
    </row>
    <row r="883" spans="1:13" ht="28.8" x14ac:dyDescent="0.3">
      <c r="A883" s="2">
        <v>882</v>
      </c>
      <c r="B883" s="2" t="s">
        <v>1055</v>
      </c>
      <c r="C883" s="2" t="s">
        <v>1073</v>
      </c>
      <c r="D883" s="2">
        <v>3924</v>
      </c>
      <c r="E883" s="3" t="s">
        <v>1749</v>
      </c>
      <c r="F883" s="3" t="s">
        <v>1789</v>
      </c>
      <c r="G883" s="3" t="s">
        <v>1790</v>
      </c>
      <c r="H883" s="2" t="s">
        <v>1752</v>
      </c>
      <c r="I883" s="4"/>
      <c r="J883" s="4"/>
      <c r="K883" s="4"/>
      <c r="L883" s="5"/>
      <c r="M883" s="3"/>
    </row>
    <row r="884" spans="1:13" ht="28.8" x14ac:dyDescent="0.3">
      <c r="A884" s="2">
        <v>883</v>
      </c>
      <c r="B884" s="2" t="s">
        <v>1055</v>
      </c>
      <c r="C884" s="2" t="s">
        <v>1073</v>
      </c>
      <c r="D884" s="2">
        <v>3933</v>
      </c>
      <c r="E884" s="3" t="s">
        <v>1749</v>
      </c>
      <c r="F884" s="3" t="s">
        <v>1791</v>
      </c>
      <c r="G884" s="3" t="s">
        <v>1792</v>
      </c>
      <c r="H884" s="2" t="s">
        <v>1752</v>
      </c>
      <c r="I884" s="4"/>
      <c r="J884" s="4"/>
      <c r="K884" s="4"/>
      <c r="L884" s="5"/>
      <c r="M884" s="3"/>
    </row>
    <row r="885" spans="1:13" x14ac:dyDescent="0.3">
      <c r="A885" s="2">
        <v>884</v>
      </c>
      <c r="B885" s="2" t="s">
        <v>1055</v>
      </c>
      <c r="C885" s="2" t="s">
        <v>1073</v>
      </c>
      <c r="D885" s="2">
        <v>3947</v>
      </c>
      <c r="E885" s="3" t="s">
        <v>1749</v>
      </c>
      <c r="F885" s="3" t="s">
        <v>1793</v>
      </c>
      <c r="G885" s="3" t="s">
        <v>1794</v>
      </c>
      <c r="H885" s="2" t="s">
        <v>1752</v>
      </c>
      <c r="I885" s="4"/>
      <c r="J885" s="4"/>
      <c r="K885" s="4"/>
      <c r="L885" s="5"/>
      <c r="M885" s="3"/>
    </row>
    <row r="886" spans="1:13" x14ac:dyDescent="0.3">
      <c r="A886" s="2">
        <v>885</v>
      </c>
      <c r="B886" s="2" t="s">
        <v>1055</v>
      </c>
      <c r="C886" s="2" t="s">
        <v>1073</v>
      </c>
      <c r="D886" s="2">
        <v>3947</v>
      </c>
      <c r="E886" s="3" t="s">
        <v>1749</v>
      </c>
      <c r="F886" s="3" t="s">
        <v>1795</v>
      </c>
      <c r="G886" s="3" t="s">
        <v>1796</v>
      </c>
      <c r="H886" s="2" t="s">
        <v>1752</v>
      </c>
      <c r="I886" s="4"/>
      <c r="J886" s="4"/>
      <c r="K886" s="4"/>
      <c r="L886" s="5"/>
      <c r="M886" s="3"/>
    </row>
    <row r="887" spans="1:13" x14ac:dyDescent="0.3">
      <c r="A887" s="2">
        <v>886</v>
      </c>
      <c r="B887" s="2" t="s">
        <v>1055</v>
      </c>
      <c r="C887" s="2" t="s">
        <v>1073</v>
      </c>
      <c r="D887" s="2">
        <v>3960</v>
      </c>
      <c r="E887" s="3" t="s">
        <v>1749</v>
      </c>
      <c r="F887" s="3" t="s">
        <v>1797</v>
      </c>
      <c r="G887" s="3" t="s">
        <v>1798</v>
      </c>
      <c r="H887" s="2" t="s">
        <v>1752</v>
      </c>
      <c r="I887" s="4"/>
      <c r="J887" s="4"/>
      <c r="K887" s="4"/>
      <c r="L887" s="5"/>
      <c r="M887" s="3"/>
    </row>
    <row r="888" spans="1:13" ht="28.8" x14ac:dyDescent="0.3">
      <c r="A888" s="2">
        <v>887</v>
      </c>
      <c r="B888" s="2" t="s">
        <v>1055</v>
      </c>
      <c r="C888" s="2" t="s">
        <v>1073</v>
      </c>
      <c r="D888" s="2">
        <v>3968</v>
      </c>
      <c r="E888" s="3" t="s">
        <v>1749</v>
      </c>
      <c r="F888" s="3" t="s">
        <v>1799</v>
      </c>
      <c r="G888" s="3" t="s">
        <v>1800</v>
      </c>
      <c r="H888" s="2" t="s">
        <v>1752</v>
      </c>
      <c r="I888" s="4"/>
      <c r="J888" s="4"/>
      <c r="K888" s="4"/>
      <c r="L888" s="5"/>
      <c r="M888" s="3"/>
    </row>
    <row r="889" spans="1:13" x14ac:dyDescent="0.3">
      <c r="A889" s="2">
        <v>888</v>
      </c>
      <c r="B889" s="2" t="s">
        <v>1055</v>
      </c>
      <c r="C889" s="2" t="s">
        <v>1073</v>
      </c>
      <c r="D889" s="2">
        <v>3983</v>
      </c>
      <c r="E889" s="3" t="s">
        <v>1749</v>
      </c>
      <c r="F889" s="3" t="s">
        <v>1801</v>
      </c>
      <c r="G889" s="3" t="s">
        <v>1802</v>
      </c>
      <c r="H889" s="2" t="s">
        <v>1752</v>
      </c>
      <c r="I889" s="4"/>
      <c r="J889" s="4"/>
      <c r="K889" s="4"/>
      <c r="L889" s="5"/>
      <c r="M889" s="3"/>
    </row>
    <row r="890" spans="1:13" x14ac:dyDescent="0.3">
      <c r="A890" s="2">
        <v>889</v>
      </c>
      <c r="B890" s="2" t="s">
        <v>1055</v>
      </c>
      <c r="C890" s="2" t="s">
        <v>1073</v>
      </c>
      <c r="D890" s="2">
        <v>3983</v>
      </c>
      <c r="E890" s="3" t="s">
        <v>1749</v>
      </c>
      <c r="F890" s="3" t="s">
        <v>1803</v>
      </c>
      <c r="G890" s="3" t="s">
        <v>1804</v>
      </c>
      <c r="H890" s="2" t="s">
        <v>1752</v>
      </c>
      <c r="I890" s="4"/>
      <c r="J890" s="4"/>
      <c r="K890" s="4"/>
      <c r="L890" s="5"/>
      <c r="M890" s="3"/>
    </row>
    <row r="891" spans="1:13" x14ac:dyDescent="0.3">
      <c r="A891" s="2">
        <v>890</v>
      </c>
      <c r="B891" s="2" t="s">
        <v>1055</v>
      </c>
      <c r="C891" s="2" t="s">
        <v>1073</v>
      </c>
      <c r="D891" s="2">
        <v>3983</v>
      </c>
      <c r="E891" s="3" t="s">
        <v>1749</v>
      </c>
      <c r="F891" s="3" t="s">
        <v>1805</v>
      </c>
      <c r="G891" s="3" t="s">
        <v>1806</v>
      </c>
      <c r="H891" s="2" t="s">
        <v>1752</v>
      </c>
      <c r="I891" s="4"/>
      <c r="J891" s="4"/>
      <c r="K891" s="4"/>
      <c r="L891" s="5"/>
      <c r="M891" s="3"/>
    </row>
    <row r="892" spans="1:13" x14ac:dyDescent="0.3">
      <c r="A892" s="2">
        <v>891</v>
      </c>
      <c r="B892" s="2" t="s">
        <v>1055</v>
      </c>
      <c r="C892" s="2" t="s">
        <v>1073</v>
      </c>
      <c r="D892" s="2">
        <v>3983</v>
      </c>
      <c r="E892" s="3" t="s">
        <v>1749</v>
      </c>
      <c r="F892" s="3" t="s">
        <v>1807</v>
      </c>
      <c r="G892" s="3" t="s">
        <v>1808</v>
      </c>
      <c r="H892" s="2" t="s">
        <v>1752</v>
      </c>
      <c r="I892" s="4"/>
      <c r="J892" s="4"/>
      <c r="K892" s="4"/>
      <c r="L892" s="5"/>
      <c r="M892" s="3"/>
    </row>
    <row r="893" spans="1:13" x14ac:dyDescent="0.3">
      <c r="A893" s="2">
        <v>892</v>
      </c>
      <c r="B893" s="2" t="s">
        <v>1055</v>
      </c>
      <c r="C893" s="2" t="s">
        <v>1073</v>
      </c>
      <c r="D893" s="2">
        <v>3993</v>
      </c>
      <c r="E893" s="3" t="s">
        <v>1749</v>
      </c>
      <c r="F893" s="3" t="s">
        <v>1809</v>
      </c>
      <c r="G893" s="3" t="s">
        <v>1810</v>
      </c>
      <c r="H893" s="2" t="s">
        <v>1752</v>
      </c>
      <c r="I893" s="4"/>
      <c r="J893" s="4"/>
      <c r="K893" s="4"/>
      <c r="L893" s="5"/>
      <c r="M893" s="3"/>
    </row>
    <row r="894" spans="1:13" x14ac:dyDescent="0.3">
      <c r="A894" s="2">
        <v>893</v>
      </c>
      <c r="B894" s="2" t="s">
        <v>1055</v>
      </c>
      <c r="C894" s="2" t="s">
        <v>1073</v>
      </c>
      <c r="D894" s="2">
        <v>4000</v>
      </c>
      <c r="E894" s="3" t="s">
        <v>1749</v>
      </c>
      <c r="F894" s="3" t="s">
        <v>1811</v>
      </c>
      <c r="G894" s="3" t="s">
        <v>1812</v>
      </c>
      <c r="H894" s="2" t="s">
        <v>1752</v>
      </c>
      <c r="I894" s="4"/>
      <c r="J894" s="4"/>
      <c r="K894" s="4"/>
      <c r="L894" s="5"/>
      <c r="M894" s="3"/>
    </row>
    <row r="895" spans="1:13" x14ac:dyDescent="0.3">
      <c r="A895" s="2">
        <v>894</v>
      </c>
      <c r="B895" s="2" t="s">
        <v>1055</v>
      </c>
      <c r="C895" s="2" t="s">
        <v>1073</v>
      </c>
      <c r="D895" s="2">
        <v>4000</v>
      </c>
      <c r="E895" s="3" t="s">
        <v>1749</v>
      </c>
      <c r="F895" s="3" t="s">
        <v>1813</v>
      </c>
      <c r="G895" s="3" t="s">
        <v>1814</v>
      </c>
      <c r="H895" s="2" t="s">
        <v>1815</v>
      </c>
      <c r="I895" s="4"/>
      <c r="J895" s="4"/>
      <c r="K895" s="4"/>
      <c r="L895" s="5"/>
      <c r="M895" s="3"/>
    </row>
    <row r="896" spans="1:13" x14ac:dyDescent="0.3">
      <c r="A896" s="2">
        <v>895</v>
      </c>
      <c r="B896" s="2" t="s">
        <v>1055</v>
      </c>
      <c r="C896" s="2" t="s">
        <v>1073</v>
      </c>
      <c r="D896" s="2">
        <v>4000</v>
      </c>
      <c r="E896" s="3" t="s">
        <v>1749</v>
      </c>
      <c r="F896" s="3" t="s">
        <v>1816</v>
      </c>
      <c r="G896" s="3" t="s">
        <v>1817</v>
      </c>
      <c r="H896" s="2" t="s">
        <v>1818</v>
      </c>
      <c r="I896" s="4"/>
      <c r="J896" s="4"/>
      <c r="K896" s="4"/>
      <c r="L896" s="5"/>
      <c r="M896" s="3"/>
    </row>
    <row r="897" spans="1:13" ht="28.8" x14ac:dyDescent="0.3">
      <c r="A897" s="2">
        <v>896</v>
      </c>
      <c r="B897" s="2" t="s">
        <v>1055</v>
      </c>
      <c r="C897" s="2" t="s">
        <v>1073</v>
      </c>
      <c r="D897" s="2">
        <v>4011</v>
      </c>
      <c r="E897" s="3" t="s">
        <v>1749</v>
      </c>
      <c r="F897" s="3" t="s">
        <v>1819</v>
      </c>
      <c r="G897" s="3" t="s">
        <v>1820</v>
      </c>
      <c r="H897" s="2" t="s">
        <v>1752</v>
      </c>
      <c r="I897" s="4"/>
      <c r="J897" s="4"/>
      <c r="K897" s="4"/>
      <c r="L897" s="5"/>
      <c r="M897" s="3"/>
    </row>
    <row r="898" spans="1:13" x14ac:dyDescent="0.3">
      <c r="A898" s="2">
        <v>897</v>
      </c>
      <c r="B898" s="2" t="s">
        <v>1055</v>
      </c>
      <c r="C898" s="2" t="s">
        <v>1073</v>
      </c>
      <c r="D898" s="2">
        <v>4021</v>
      </c>
      <c r="E898" s="3" t="s">
        <v>1749</v>
      </c>
      <c r="F898" s="3" t="s">
        <v>1821</v>
      </c>
      <c r="G898" s="3" t="s">
        <v>1822</v>
      </c>
      <c r="H898" s="2" t="s">
        <v>1752</v>
      </c>
      <c r="I898" s="4"/>
      <c r="J898" s="4"/>
      <c r="K898" s="4"/>
      <c r="L898" s="5"/>
      <c r="M898" s="3"/>
    </row>
    <row r="899" spans="1:13" x14ac:dyDescent="0.3">
      <c r="A899" s="2">
        <v>898</v>
      </c>
      <c r="B899" s="2" t="s">
        <v>1055</v>
      </c>
      <c r="C899" s="2" t="s">
        <v>1073</v>
      </c>
      <c r="D899" s="2">
        <v>4021</v>
      </c>
      <c r="E899" s="3" t="s">
        <v>1749</v>
      </c>
      <c r="F899" s="3" t="s">
        <v>1823</v>
      </c>
      <c r="G899" s="3" t="s">
        <v>1824</v>
      </c>
      <c r="H899" s="2" t="s">
        <v>1752</v>
      </c>
      <c r="I899" s="4"/>
      <c r="J899" s="4"/>
      <c r="K899" s="4"/>
      <c r="L899" s="5"/>
      <c r="M899" s="3"/>
    </row>
    <row r="900" spans="1:13" x14ac:dyDescent="0.3">
      <c r="A900" s="2">
        <v>899</v>
      </c>
      <c r="B900" s="2" t="s">
        <v>1055</v>
      </c>
      <c r="C900" s="2" t="s">
        <v>1073</v>
      </c>
      <c r="D900" s="2">
        <v>4032</v>
      </c>
      <c r="E900" s="3" t="s">
        <v>1749</v>
      </c>
      <c r="F900" s="3" t="s">
        <v>1825</v>
      </c>
      <c r="G900" s="3" t="s">
        <v>1826</v>
      </c>
      <c r="H900" s="2" t="s">
        <v>1752</v>
      </c>
      <c r="I900" s="4"/>
      <c r="J900" s="4"/>
      <c r="K900" s="4"/>
      <c r="L900" s="5"/>
      <c r="M900" s="3"/>
    </row>
    <row r="901" spans="1:13" x14ac:dyDescent="0.3">
      <c r="A901" s="2">
        <v>900</v>
      </c>
      <c r="B901" s="2" t="s">
        <v>1055</v>
      </c>
      <c r="C901" s="2" t="s">
        <v>1073</v>
      </c>
      <c r="D901" s="2">
        <v>4040</v>
      </c>
      <c r="E901" s="3" t="s">
        <v>1749</v>
      </c>
      <c r="F901" s="3" t="s">
        <v>1827</v>
      </c>
      <c r="G901" s="3" t="s">
        <v>1828</v>
      </c>
      <c r="H901" s="2" t="s">
        <v>1752</v>
      </c>
      <c r="I901" s="4"/>
      <c r="J901" s="4"/>
      <c r="K901" s="4"/>
      <c r="L901" s="5"/>
      <c r="M901" s="3"/>
    </row>
    <row r="902" spans="1:13" x14ac:dyDescent="0.3">
      <c r="A902" s="2">
        <v>901</v>
      </c>
      <c r="B902" s="2" t="s">
        <v>1055</v>
      </c>
      <c r="C902" s="2" t="s">
        <v>1073</v>
      </c>
      <c r="D902" s="2">
        <v>4049</v>
      </c>
      <c r="E902" s="3" t="s">
        <v>1749</v>
      </c>
      <c r="F902" s="3" t="s">
        <v>1829</v>
      </c>
      <c r="G902" s="3" t="s">
        <v>1830</v>
      </c>
      <c r="H902" s="2" t="s">
        <v>1752</v>
      </c>
      <c r="I902" s="4"/>
      <c r="J902" s="4"/>
      <c r="K902" s="4"/>
      <c r="L902" s="5"/>
      <c r="M902" s="3"/>
    </row>
    <row r="903" spans="1:13" x14ac:dyDescent="0.3">
      <c r="A903" s="2">
        <v>902</v>
      </c>
      <c r="B903" s="2" t="s">
        <v>1055</v>
      </c>
      <c r="C903" s="2" t="s">
        <v>1073</v>
      </c>
      <c r="D903" s="2">
        <v>4066</v>
      </c>
      <c r="E903" s="3" t="s">
        <v>1749</v>
      </c>
      <c r="F903" s="3" t="s">
        <v>1831</v>
      </c>
      <c r="G903" s="3" t="s">
        <v>1832</v>
      </c>
      <c r="H903" s="2" t="s">
        <v>1752</v>
      </c>
      <c r="I903" s="4"/>
      <c r="J903" s="4"/>
      <c r="K903" s="4"/>
      <c r="L903" s="5"/>
      <c r="M903" s="3"/>
    </row>
    <row r="904" spans="1:13" x14ac:dyDescent="0.3">
      <c r="A904" s="2">
        <v>903</v>
      </c>
      <c r="B904" s="2" t="s">
        <v>1055</v>
      </c>
      <c r="C904" s="2" t="s">
        <v>1073</v>
      </c>
      <c r="D904" s="2">
        <v>4075</v>
      </c>
      <c r="E904" s="3" t="s">
        <v>1749</v>
      </c>
      <c r="F904" s="3" t="s">
        <v>1833</v>
      </c>
      <c r="G904" s="3" t="s">
        <v>1834</v>
      </c>
      <c r="H904" s="2" t="s">
        <v>1752</v>
      </c>
      <c r="I904" s="4"/>
      <c r="J904" s="4"/>
      <c r="K904" s="4"/>
      <c r="L904" s="5"/>
      <c r="M904" s="3"/>
    </row>
    <row r="905" spans="1:13" x14ac:dyDescent="0.3">
      <c r="A905" s="2">
        <v>904</v>
      </c>
      <c r="B905" s="2" t="s">
        <v>1055</v>
      </c>
      <c r="C905" s="2" t="s">
        <v>1073</v>
      </c>
      <c r="D905" s="2">
        <v>4075</v>
      </c>
      <c r="E905" s="3" t="s">
        <v>1749</v>
      </c>
      <c r="F905" s="3" t="s">
        <v>1835</v>
      </c>
      <c r="G905" s="3" t="s">
        <v>1836</v>
      </c>
      <c r="H905" s="2" t="s">
        <v>1752</v>
      </c>
      <c r="I905" s="4"/>
      <c r="J905" s="4"/>
      <c r="K905" s="4"/>
      <c r="L905" s="5"/>
      <c r="M905" s="3"/>
    </row>
    <row r="906" spans="1:13" x14ac:dyDescent="0.3">
      <c r="A906" s="2">
        <v>905</v>
      </c>
      <c r="B906" s="2" t="s">
        <v>1055</v>
      </c>
      <c r="C906" s="2" t="s">
        <v>1073</v>
      </c>
      <c r="D906" s="2">
        <v>4075</v>
      </c>
      <c r="E906" s="3" t="s">
        <v>1749</v>
      </c>
      <c r="F906" s="3" t="s">
        <v>1837</v>
      </c>
      <c r="G906" s="3" t="s">
        <v>1838</v>
      </c>
      <c r="H906" s="2" t="s">
        <v>1752</v>
      </c>
      <c r="I906" s="4"/>
      <c r="J906" s="4"/>
      <c r="K906" s="4"/>
      <c r="L906" s="5"/>
      <c r="M906" s="3"/>
    </row>
    <row r="907" spans="1:13" ht="28.8" x14ac:dyDescent="0.3">
      <c r="A907" s="2">
        <v>906</v>
      </c>
      <c r="B907" s="2" t="s">
        <v>1055</v>
      </c>
      <c r="C907" s="2" t="s">
        <v>1073</v>
      </c>
      <c r="D907" s="2">
        <v>4086</v>
      </c>
      <c r="E907" s="3" t="s">
        <v>1749</v>
      </c>
      <c r="F907" s="3" t="s">
        <v>1839</v>
      </c>
      <c r="G907" s="3" t="s">
        <v>1840</v>
      </c>
      <c r="H907" s="2" t="s">
        <v>1752</v>
      </c>
      <c r="I907" s="4"/>
      <c r="J907" s="4"/>
      <c r="K907" s="4"/>
      <c r="L907" s="5"/>
      <c r="M907" s="3"/>
    </row>
    <row r="908" spans="1:13" x14ac:dyDescent="0.3">
      <c r="A908" s="2">
        <v>907</v>
      </c>
      <c r="B908" s="2" t="s">
        <v>1055</v>
      </c>
      <c r="C908" s="2" t="s">
        <v>1073</v>
      </c>
      <c r="D908" s="2">
        <v>4096</v>
      </c>
      <c r="E908" s="3" t="s">
        <v>1749</v>
      </c>
      <c r="F908" s="3" t="s">
        <v>1841</v>
      </c>
      <c r="G908" s="3" t="s">
        <v>1842</v>
      </c>
      <c r="H908" s="2" t="s">
        <v>1752</v>
      </c>
      <c r="I908" s="4"/>
      <c r="J908" s="4"/>
      <c r="K908" s="4"/>
      <c r="L908" s="5"/>
      <c r="M908" s="3"/>
    </row>
    <row r="909" spans="1:13" ht="28.8" x14ac:dyDescent="0.3">
      <c r="A909" s="2">
        <v>908</v>
      </c>
      <c r="B909" s="2" t="s">
        <v>1055</v>
      </c>
      <c r="C909" s="2" t="s">
        <v>1073</v>
      </c>
      <c r="D909" s="2">
        <v>4104</v>
      </c>
      <c r="E909" s="3" t="s">
        <v>1749</v>
      </c>
      <c r="F909" s="3" t="s">
        <v>1843</v>
      </c>
      <c r="G909" s="3" t="s">
        <v>1844</v>
      </c>
      <c r="H909" s="2" t="s">
        <v>1752</v>
      </c>
      <c r="I909" s="4"/>
      <c r="J909" s="4"/>
      <c r="K909" s="4"/>
      <c r="L909" s="5"/>
      <c r="M909" s="3"/>
    </row>
    <row r="910" spans="1:13" x14ac:dyDescent="0.3">
      <c r="A910" s="2">
        <v>909</v>
      </c>
      <c r="B910" s="2" t="s">
        <v>1055</v>
      </c>
      <c r="C910" s="2" t="s">
        <v>1073</v>
      </c>
      <c r="D910" s="2">
        <v>4113</v>
      </c>
      <c r="E910" s="3" t="s">
        <v>1749</v>
      </c>
      <c r="F910" s="3" t="s">
        <v>1845</v>
      </c>
      <c r="G910" s="3" t="s">
        <v>1846</v>
      </c>
      <c r="H910" s="2" t="s">
        <v>1752</v>
      </c>
      <c r="I910" s="4"/>
      <c r="J910" s="4"/>
      <c r="K910" s="4"/>
      <c r="L910" s="5"/>
      <c r="M910" s="3"/>
    </row>
    <row r="911" spans="1:13" x14ac:dyDescent="0.3">
      <c r="A911" s="2">
        <v>910</v>
      </c>
      <c r="B911" s="2" t="s">
        <v>1055</v>
      </c>
      <c r="C911" s="2" t="s">
        <v>1073</v>
      </c>
      <c r="D911" s="2">
        <v>4122</v>
      </c>
      <c r="E911" s="3" t="s">
        <v>1749</v>
      </c>
      <c r="F911" s="3" t="s">
        <v>1847</v>
      </c>
      <c r="G911" s="3" t="s">
        <v>1848</v>
      </c>
      <c r="H911" s="2" t="s">
        <v>1752</v>
      </c>
      <c r="I911" s="4"/>
      <c r="J911" s="4"/>
      <c r="K911" s="4"/>
      <c r="L911" s="5"/>
      <c r="M911" s="3"/>
    </row>
    <row r="912" spans="1:13" ht="28.8" x14ac:dyDescent="0.3">
      <c r="A912" s="2">
        <v>911</v>
      </c>
      <c r="B912" s="2" t="s">
        <v>1055</v>
      </c>
      <c r="C912" s="2" t="s">
        <v>1073</v>
      </c>
      <c r="D912" s="2">
        <v>4129</v>
      </c>
      <c r="E912" s="3" t="s">
        <v>1749</v>
      </c>
      <c r="F912" s="3" t="s">
        <v>1849</v>
      </c>
      <c r="G912" s="3" t="s">
        <v>1850</v>
      </c>
      <c r="H912" s="2" t="s">
        <v>1752</v>
      </c>
      <c r="I912" s="4"/>
      <c r="J912" s="4"/>
      <c r="K912" s="4"/>
      <c r="L912" s="5"/>
      <c r="M912" s="3"/>
    </row>
    <row r="913" spans="1:13" x14ac:dyDescent="0.3">
      <c r="A913" s="2">
        <v>912</v>
      </c>
      <c r="B913" s="2" t="s">
        <v>1055</v>
      </c>
      <c r="C913" s="2" t="s">
        <v>1073</v>
      </c>
      <c r="D913" s="2">
        <v>4139</v>
      </c>
      <c r="E913" s="3" t="s">
        <v>1749</v>
      </c>
      <c r="F913" s="3" t="s">
        <v>1851</v>
      </c>
      <c r="G913" s="3" t="s">
        <v>1852</v>
      </c>
      <c r="H913" s="2" t="s">
        <v>1752</v>
      </c>
      <c r="I913" s="4"/>
      <c r="J913" s="4"/>
      <c r="K913" s="4"/>
      <c r="L913" s="5"/>
      <c r="M913" s="3"/>
    </row>
    <row r="914" spans="1:13" x14ac:dyDescent="0.3">
      <c r="A914" s="2">
        <v>913</v>
      </c>
      <c r="B914" s="2" t="s">
        <v>1055</v>
      </c>
      <c r="C914" s="2" t="s">
        <v>1073</v>
      </c>
      <c r="D914" s="2">
        <v>4147</v>
      </c>
      <c r="E914" s="3" t="s">
        <v>1749</v>
      </c>
      <c r="F914" s="3" t="s">
        <v>1853</v>
      </c>
      <c r="G914" s="3" t="s">
        <v>1854</v>
      </c>
      <c r="H914" s="2" t="s">
        <v>1752</v>
      </c>
      <c r="I914" s="4"/>
      <c r="J914" s="4"/>
      <c r="K914" s="4"/>
      <c r="L914" s="5"/>
      <c r="M914" s="3"/>
    </row>
    <row r="915" spans="1:13" ht="28.8" x14ac:dyDescent="0.3">
      <c r="A915" s="2">
        <v>914</v>
      </c>
      <c r="B915" s="2" t="s">
        <v>1055</v>
      </c>
      <c r="C915" s="2" t="s">
        <v>1073</v>
      </c>
      <c r="D915" s="2">
        <v>4156</v>
      </c>
      <c r="E915" s="3" t="s">
        <v>1749</v>
      </c>
      <c r="F915" s="3" t="s">
        <v>1855</v>
      </c>
      <c r="G915" s="3" t="s">
        <v>1856</v>
      </c>
      <c r="H915" s="2" t="s">
        <v>1752</v>
      </c>
      <c r="I915" s="4"/>
      <c r="J915" s="4"/>
      <c r="K915" s="4"/>
      <c r="L915" s="5"/>
      <c r="M915" s="3"/>
    </row>
    <row r="916" spans="1:13" x14ac:dyDescent="0.3">
      <c r="A916" s="2">
        <v>915</v>
      </c>
      <c r="B916" s="2" t="s">
        <v>1055</v>
      </c>
      <c r="C916" s="2" t="s">
        <v>1073</v>
      </c>
      <c r="D916" s="2">
        <v>4170</v>
      </c>
      <c r="E916" s="3" t="s">
        <v>1749</v>
      </c>
      <c r="F916" s="3" t="s">
        <v>1857</v>
      </c>
      <c r="G916" s="3" t="s">
        <v>1858</v>
      </c>
      <c r="H916" s="2" t="s">
        <v>1752</v>
      </c>
      <c r="I916" s="4"/>
      <c r="J916" s="4"/>
      <c r="K916" s="4"/>
      <c r="L916" s="5"/>
      <c r="M916" s="3"/>
    </row>
    <row r="917" spans="1:13" x14ac:dyDescent="0.3">
      <c r="A917" s="2">
        <v>916</v>
      </c>
      <c r="B917" s="2" t="s">
        <v>1055</v>
      </c>
      <c r="C917" s="2" t="s">
        <v>1073</v>
      </c>
      <c r="D917" s="2">
        <v>4182</v>
      </c>
      <c r="E917" s="3" t="s">
        <v>1749</v>
      </c>
      <c r="F917" s="3" t="s">
        <v>1859</v>
      </c>
      <c r="G917" s="3" t="s">
        <v>1860</v>
      </c>
      <c r="H917" s="2" t="s">
        <v>1752</v>
      </c>
      <c r="I917" s="4"/>
      <c r="J917" s="4"/>
      <c r="K917" s="4"/>
      <c r="L917" s="5"/>
      <c r="M917" s="3"/>
    </row>
    <row r="918" spans="1:13" ht="28.8" x14ac:dyDescent="0.3">
      <c r="A918" s="2">
        <v>917</v>
      </c>
      <c r="B918" s="2" t="s">
        <v>1055</v>
      </c>
      <c r="C918" s="2" t="s">
        <v>1073</v>
      </c>
      <c r="D918" s="2">
        <v>4190</v>
      </c>
      <c r="E918" s="3" t="s">
        <v>1749</v>
      </c>
      <c r="F918" s="3" t="s">
        <v>1861</v>
      </c>
      <c r="G918" s="3" t="s">
        <v>1862</v>
      </c>
      <c r="H918" s="2" t="s">
        <v>1752</v>
      </c>
      <c r="I918" s="4"/>
      <c r="J918" s="4"/>
      <c r="K918" s="4"/>
      <c r="L918" s="5"/>
      <c r="M918" s="3"/>
    </row>
    <row r="919" spans="1:13" x14ac:dyDescent="0.3">
      <c r="A919" s="2">
        <v>918</v>
      </c>
      <c r="B919" s="2" t="s">
        <v>1055</v>
      </c>
      <c r="C919" s="2" t="s">
        <v>1073</v>
      </c>
      <c r="D919" s="2">
        <v>4196</v>
      </c>
      <c r="E919" s="3" t="s">
        <v>1749</v>
      </c>
      <c r="F919" s="3" t="s">
        <v>1863</v>
      </c>
      <c r="G919" s="3" t="s">
        <v>1864</v>
      </c>
      <c r="H919" s="2" t="s">
        <v>1752</v>
      </c>
      <c r="I919" s="4"/>
      <c r="J919" s="4"/>
      <c r="K919" s="4"/>
      <c r="L919" s="5"/>
      <c r="M919" s="3"/>
    </row>
    <row r="920" spans="1:13" x14ac:dyDescent="0.3">
      <c r="A920" s="2">
        <v>919</v>
      </c>
      <c r="B920" s="2" t="s">
        <v>1055</v>
      </c>
      <c r="C920" s="2" t="s">
        <v>1073</v>
      </c>
      <c r="D920" s="2">
        <v>4205</v>
      </c>
      <c r="E920" s="3" t="s">
        <v>1749</v>
      </c>
      <c r="F920" s="3" t="s">
        <v>1865</v>
      </c>
      <c r="G920" s="3" t="s">
        <v>1866</v>
      </c>
      <c r="H920" s="2" t="s">
        <v>1752</v>
      </c>
      <c r="I920" s="4"/>
      <c r="J920" s="4"/>
      <c r="K920" s="4"/>
      <c r="L920" s="5"/>
      <c r="M920" s="3"/>
    </row>
    <row r="921" spans="1:13" x14ac:dyDescent="0.3">
      <c r="A921" s="2">
        <v>920</v>
      </c>
      <c r="B921" s="2" t="s">
        <v>1055</v>
      </c>
      <c r="C921" s="2" t="s">
        <v>1073</v>
      </c>
      <c r="D921" s="2">
        <v>4211</v>
      </c>
      <c r="E921" s="3" t="s">
        <v>1749</v>
      </c>
      <c r="F921" s="3" t="s">
        <v>1867</v>
      </c>
      <c r="G921" s="3" t="s">
        <v>1868</v>
      </c>
      <c r="H921" s="2" t="s">
        <v>1752</v>
      </c>
      <c r="I921" s="4"/>
      <c r="J921" s="4"/>
      <c r="K921" s="4"/>
      <c r="L921" s="5"/>
      <c r="M921" s="3"/>
    </row>
    <row r="922" spans="1:13" ht="28.8" x14ac:dyDescent="0.3">
      <c r="A922" s="2">
        <v>921</v>
      </c>
      <c r="B922" s="2" t="s">
        <v>1055</v>
      </c>
      <c r="C922" s="2" t="s">
        <v>1073</v>
      </c>
      <c r="D922" s="2">
        <v>4228</v>
      </c>
      <c r="E922" s="3" t="s">
        <v>1749</v>
      </c>
      <c r="F922" s="3" t="s">
        <v>1869</v>
      </c>
      <c r="G922" s="3" t="s">
        <v>1870</v>
      </c>
      <c r="H922" s="2"/>
      <c r="I922" s="4"/>
      <c r="J922" s="4"/>
      <c r="K922" s="4"/>
      <c r="L922" s="5"/>
      <c r="M922" s="3"/>
    </row>
    <row r="923" spans="1:13" ht="28.8" x14ac:dyDescent="0.3">
      <c r="A923" s="2">
        <v>922</v>
      </c>
      <c r="B923" s="2" t="s">
        <v>1055</v>
      </c>
      <c r="C923" s="2" t="s">
        <v>1073</v>
      </c>
      <c r="D923" s="2">
        <v>4228</v>
      </c>
      <c r="E923" s="3" t="s">
        <v>1749</v>
      </c>
      <c r="F923" s="3" t="s">
        <v>1871</v>
      </c>
      <c r="G923" s="3" t="s">
        <v>1872</v>
      </c>
      <c r="H923" s="2"/>
      <c r="I923" s="4"/>
      <c r="J923" s="4"/>
      <c r="K923" s="4"/>
      <c r="L923" s="5"/>
      <c r="M923" s="3"/>
    </row>
    <row r="924" spans="1:13" ht="28.8" x14ac:dyDescent="0.3">
      <c r="A924" s="2">
        <v>923</v>
      </c>
      <c r="B924" s="2" t="s">
        <v>1055</v>
      </c>
      <c r="C924" s="2" t="s">
        <v>1073</v>
      </c>
      <c r="D924" s="2">
        <v>4228</v>
      </c>
      <c r="E924" s="3" t="s">
        <v>1749</v>
      </c>
      <c r="F924" s="3" t="s">
        <v>1873</v>
      </c>
      <c r="G924" s="3" t="s">
        <v>1874</v>
      </c>
      <c r="H924" s="2"/>
      <c r="I924" s="4"/>
      <c r="J924" s="4"/>
      <c r="K924" s="4"/>
      <c r="L924" s="5"/>
      <c r="M924" s="3"/>
    </row>
    <row r="925" spans="1:13" ht="28.8" x14ac:dyDescent="0.3">
      <c r="A925" s="2">
        <v>924</v>
      </c>
      <c r="B925" s="2" t="s">
        <v>1055</v>
      </c>
      <c r="C925" s="2" t="s">
        <v>1073</v>
      </c>
      <c r="D925" s="2">
        <v>4228</v>
      </c>
      <c r="E925" s="3" t="s">
        <v>1749</v>
      </c>
      <c r="F925" s="3" t="s">
        <v>1875</v>
      </c>
      <c r="G925" s="3" t="s">
        <v>1876</v>
      </c>
      <c r="H925" s="2"/>
      <c r="I925" s="4"/>
      <c r="J925" s="4"/>
      <c r="K925" s="4"/>
      <c r="L925" s="5"/>
      <c r="M925" s="3"/>
    </row>
    <row r="926" spans="1:13" x14ac:dyDescent="0.3">
      <c r="A926" s="2">
        <v>925</v>
      </c>
      <c r="B926" s="2" t="s">
        <v>1877</v>
      </c>
      <c r="C926" s="2" t="s">
        <v>1878</v>
      </c>
      <c r="D926" s="2">
        <v>8</v>
      </c>
      <c r="E926" s="3" t="s">
        <v>1879</v>
      </c>
      <c r="F926" s="3" t="s">
        <v>16</v>
      </c>
      <c r="G926" s="3" t="s">
        <v>1880</v>
      </c>
      <c r="H926" s="2" t="s">
        <v>1881</v>
      </c>
      <c r="I926" s="4"/>
      <c r="J926" s="4"/>
      <c r="K926" s="4"/>
      <c r="L926" s="5"/>
      <c r="M926" s="3"/>
    </row>
    <row r="927" spans="1:13" ht="28.8" x14ac:dyDescent="0.3">
      <c r="A927" s="2">
        <v>926</v>
      </c>
      <c r="B927" s="2" t="s">
        <v>1882</v>
      </c>
      <c r="C927" s="2" t="s">
        <v>1883</v>
      </c>
      <c r="D927" s="2">
        <v>26</v>
      </c>
      <c r="E927" s="3" t="s">
        <v>1884</v>
      </c>
      <c r="F927" s="3" t="s">
        <v>16</v>
      </c>
      <c r="G927" s="3" t="s">
        <v>1885</v>
      </c>
      <c r="H927" s="2" t="s">
        <v>1886</v>
      </c>
      <c r="I927" s="4"/>
      <c r="J927" s="4"/>
      <c r="K927" s="4"/>
      <c r="L927" s="5"/>
      <c r="M927" s="3"/>
    </row>
    <row r="928" spans="1:13" x14ac:dyDescent="0.3">
      <c r="A928" s="2">
        <v>927</v>
      </c>
      <c r="B928" s="2" t="s">
        <v>1882</v>
      </c>
      <c r="C928" s="2" t="s">
        <v>1883</v>
      </c>
      <c r="D928" s="2">
        <v>30</v>
      </c>
      <c r="E928" s="3" t="s">
        <v>1884</v>
      </c>
      <c r="F928" s="3" t="s">
        <v>18</v>
      </c>
      <c r="G928" s="3" t="s">
        <v>1887</v>
      </c>
      <c r="H928" s="2" t="s">
        <v>1886</v>
      </c>
      <c r="I928" s="4"/>
      <c r="J928" s="4"/>
      <c r="K928" s="4"/>
      <c r="L928" s="5"/>
      <c r="M928" s="3"/>
    </row>
    <row r="929" spans="1:13" x14ac:dyDescent="0.3">
      <c r="A929" s="2">
        <v>928</v>
      </c>
      <c r="B929" s="2" t="s">
        <v>1882</v>
      </c>
      <c r="C929" s="2" t="s">
        <v>1883</v>
      </c>
      <c r="D929" s="2">
        <v>34</v>
      </c>
      <c r="E929" s="3" t="s">
        <v>1884</v>
      </c>
      <c r="F929" s="3" t="s">
        <v>20</v>
      </c>
      <c r="G929" s="3" t="s">
        <v>1888</v>
      </c>
      <c r="H929" s="2" t="s">
        <v>1886</v>
      </c>
      <c r="I929" s="4"/>
      <c r="J929" s="4"/>
      <c r="K929" s="4"/>
      <c r="L929" s="5"/>
      <c r="M929" s="3"/>
    </row>
    <row r="930" spans="1:13" ht="28.8" x14ac:dyDescent="0.3">
      <c r="A930" s="2">
        <v>929</v>
      </c>
      <c r="B930" s="2" t="s">
        <v>1882</v>
      </c>
      <c r="C930" s="2" t="s">
        <v>1883</v>
      </c>
      <c r="D930" s="2">
        <v>39</v>
      </c>
      <c r="E930" s="3" t="s">
        <v>1884</v>
      </c>
      <c r="F930" s="3" t="s">
        <v>22</v>
      </c>
      <c r="G930" s="3" t="s">
        <v>1889</v>
      </c>
      <c r="H930" s="2" t="s">
        <v>1886</v>
      </c>
      <c r="I930" s="4"/>
      <c r="J930" s="4"/>
      <c r="K930" s="4"/>
      <c r="L930" s="5"/>
      <c r="M930" s="3"/>
    </row>
    <row r="931" spans="1:13" x14ac:dyDescent="0.3">
      <c r="A931" s="2">
        <v>930</v>
      </c>
      <c r="B931" s="2" t="s">
        <v>1882</v>
      </c>
      <c r="C931" s="2" t="s">
        <v>1890</v>
      </c>
      <c r="D931" s="2">
        <v>39</v>
      </c>
      <c r="E931" s="3" t="s">
        <v>1891</v>
      </c>
      <c r="F931" s="3" t="s">
        <v>16</v>
      </c>
      <c r="G931" s="3" t="s">
        <v>1892</v>
      </c>
      <c r="H931" s="2" t="s">
        <v>1893</v>
      </c>
      <c r="I931" s="4"/>
      <c r="J931" s="4"/>
      <c r="K931" s="4"/>
      <c r="L931" s="5"/>
      <c r="M931" s="3"/>
    </row>
    <row r="932" spans="1:13" x14ac:dyDescent="0.3">
      <c r="A932" s="2">
        <v>931</v>
      </c>
      <c r="B932" s="2" t="s">
        <v>1882</v>
      </c>
      <c r="C932" s="2" t="s">
        <v>1890</v>
      </c>
      <c r="D932" s="2">
        <v>44</v>
      </c>
      <c r="E932" s="3" t="s">
        <v>1891</v>
      </c>
      <c r="F932" s="3" t="s">
        <v>18</v>
      </c>
      <c r="G932" s="3" t="s">
        <v>1894</v>
      </c>
      <c r="H932" s="2" t="s">
        <v>1893</v>
      </c>
      <c r="I932" s="4"/>
      <c r="J932" s="4"/>
      <c r="K932" s="4"/>
      <c r="L932" s="5"/>
      <c r="M932" s="3"/>
    </row>
    <row r="933" spans="1:13" x14ac:dyDescent="0.3">
      <c r="A933" s="2">
        <v>932</v>
      </c>
      <c r="B933" s="2" t="s">
        <v>1882</v>
      </c>
      <c r="C933" s="2" t="s">
        <v>1890</v>
      </c>
      <c r="D933" s="2">
        <v>48</v>
      </c>
      <c r="E933" s="3" t="s">
        <v>1891</v>
      </c>
      <c r="F933" s="3" t="s">
        <v>20</v>
      </c>
      <c r="G933" s="3" t="s">
        <v>1895</v>
      </c>
      <c r="H933" s="2" t="s">
        <v>1893</v>
      </c>
      <c r="I933" s="4"/>
      <c r="J933" s="4"/>
      <c r="K933" s="4"/>
      <c r="L933" s="5"/>
      <c r="M933" s="3"/>
    </row>
    <row r="934" spans="1:13" x14ac:dyDescent="0.3">
      <c r="A934" s="2">
        <v>933</v>
      </c>
      <c r="B934" s="2" t="s">
        <v>1882</v>
      </c>
      <c r="C934" s="2" t="s">
        <v>1890</v>
      </c>
      <c r="D934" s="2">
        <v>52</v>
      </c>
      <c r="E934" s="3" t="s">
        <v>1891</v>
      </c>
      <c r="F934" s="3" t="s">
        <v>22</v>
      </c>
      <c r="G934" s="3" t="s">
        <v>1896</v>
      </c>
      <c r="H934" s="2" t="s">
        <v>1893</v>
      </c>
      <c r="I934" s="4"/>
      <c r="J934" s="4"/>
      <c r="K934" s="4"/>
      <c r="L934" s="5"/>
      <c r="M934" s="3"/>
    </row>
    <row r="935" spans="1:13" x14ac:dyDescent="0.3">
      <c r="A935" s="2">
        <v>934</v>
      </c>
      <c r="B935" s="2" t="s">
        <v>1882</v>
      </c>
      <c r="C935" s="2" t="s">
        <v>1890</v>
      </c>
      <c r="D935" s="2">
        <v>56</v>
      </c>
      <c r="E935" s="3" t="s">
        <v>1891</v>
      </c>
      <c r="F935" s="3" t="s">
        <v>24</v>
      </c>
      <c r="G935" s="3" t="s">
        <v>1897</v>
      </c>
      <c r="H935" s="2" t="s">
        <v>1893</v>
      </c>
      <c r="I935" s="4"/>
      <c r="J935" s="4"/>
      <c r="K935" s="4"/>
      <c r="L935" s="5"/>
      <c r="M935" s="3"/>
    </row>
    <row r="936" spans="1:13" x14ac:dyDescent="0.3">
      <c r="A936" s="2">
        <v>935</v>
      </c>
      <c r="B936" s="2" t="s">
        <v>1882</v>
      </c>
      <c r="C936" s="2" t="s">
        <v>1890</v>
      </c>
      <c r="D936" s="2">
        <v>61</v>
      </c>
      <c r="E936" s="3" t="s">
        <v>1891</v>
      </c>
      <c r="F936" s="3" t="s">
        <v>26</v>
      </c>
      <c r="G936" s="3" t="s">
        <v>1898</v>
      </c>
      <c r="H936" s="2" t="s">
        <v>1893</v>
      </c>
      <c r="I936" s="4"/>
      <c r="J936" s="4"/>
      <c r="K936" s="4"/>
      <c r="L936" s="5"/>
      <c r="M936" s="3"/>
    </row>
    <row r="937" spans="1:13" x14ac:dyDescent="0.3">
      <c r="A937" s="2">
        <v>936</v>
      </c>
      <c r="B937" s="2" t="s">
        <v>1882</v>
      </c>
      <c r="C937" s="2" t="s">
        <v>1890</v>
      </c>
      <c r="D937" s="2">
        <v>65</v>
      </c>
      <c r="E937" s="3" t="s">
        <v>1891</v>
      </c>
      <c r="F937" s="3" t="s">
        <v>28</v>
      </c>
      <c r="G937" s="3" t="s">
        <v>1899</v>
      </c>
      <c r="H937" s="2" t="s">
        <v>1893</v>
      </c>
      <c r="I937" s="4"/>
      <c r="J937" s="4"/>
      <c r="K937" s="4"/>
      <c r="L937" s="5"/>
      <c r="M937" s="3"/>
    </row>
    <row r="938" spans="1:13" x14ac:dyDescent="0.3">
      <c r="A938" s="2">
        <v>937</v>
      </c>
      <c r="B938" s="2" t="s">
        <v>1882</v>
      </c>
      <c r="C938" s="2" t="s">
        <v>1890</v>
      </c>
      <c r="D938" s="2">
        <v>69</v>
      </c>
      <c r="E938" s="3" t="s">
        <v>1891</v>
      </c>
      <c r="F938" s="3" t="s">
        <v>30</v>
      </c>
      <c r="G938" s="3" t="s">
        <v>1900</v>
      </c>
      <c r="H938" s="2" t="s">
        <v>1893</v>
      </c>
      <c r="I938" s="4"/>
      <c r="J938" s="4"/>
      <c r="K938" s="4"/>
      <c r="L938" s="5"/>
      <c r="M938" s="3"/>
    </row>
    <row r="939" spans="1:13" x14ac:dyDescent="0.3">
      <c r="A939" s="2">
        <v>938</v>
      </c>
      <c r="B939" s="2" t="s">
        <v>1882</v>
      </c>
      <c r="C939" s="2" t="s">
        <v>1890</v>
      </c>
      <c r="D939" s="2">
        <v>73</v>
      </c>
      <c r="E939" s="3" t="s">
        <v>1891</v>
      </c>
      <c r="F939" s="3" t="s">
        <v>32</v>
      </c>
      <c r="G939" s="3" t="s">
        <v>1901</v>
      </c>
      <c r="H939" s="2" t="s">
        <v>1893</v>
      </c>
      <c r="I939" s="4"/>
      <c r="J939" s="4"/>
      <c r="K939" s="4"/>
      <c r="L939" s="5"/>
      <c r="M939" s="3"/>
    </row>
    <row r="940" spans="1:13" x14ac:dyDescent="0.3">
      <c r="A940" s="2">
        <v>939</v>
      </c>
      <c r="B940" s="2" t="s">
        <v>1882</v>
      </c>
      <c r="C940" s="2" t="s">
        <v>1890</v>
      </c>
      <c r="D940" s="2">
        <v>78</v>
      </c>
      <c r="E940" s="3" t="s">
        <v>1891</v>
      </c>
      <c r="F940" s="3" t="s">
        <v>34</v>
      </c>
      <c r="G940" s="3" t="s">
        <v>1902</v>
      </c>
      <c r="H940" s="2" t="s">
        <v>1893</v>
      </c>
      <c r="I940" s="4"/>
      <c r="J940" s="4"/>
      <c r="K940" s="4"/>
      <c r="L940" s="5"/>
      <c r="M940" s="3"/>
    </row>
    <row r="941" spans="1:13" x14ac:dyDescent="0.3">
      <c r="A941" s="2">
        <v>940</v>
      </c>
      <c r="B941" s="2" t="s">
        <v>1882</v>
      </c>
      <c r="C941" s="2" t="s">
        <v>1890</v>
      </c>
      <c r="D941" s="2">
        <v>82</v>
      </c>
      <c r="E941" s="3" t="s">
        <v>1891</v>
      </c>
      <c r="F941" s="3" t="s">
        <v>36</v>
      </c>
      <c r="G941" s="3" t="s">
        <v>1903</v>
      </c>
      <c r="H941" s="2" t="s">
        <v>1893</v>
      </c>
      <c r="I941" s="4"/>
      <c r="J941" s="4"/>
      <c r="K941" s="4"/>
      <c r="L941" s="5"/>
      <c r="M941" s="3"/>
    </row>
    <row r="942" spans="1:13" x14ac:dyDescent="0.3">
      <c r="A942" s="2">
        <v>941</v>
      </c>
      <c r="B942" s="2" t="s">
        <v>1882</v>
      </c>
      <c r="C942" s="2" t="s">
        <v>1890</v>
      </c>
      <c r="D942" s="2">
        <v>86</v>
      </c>
      <c r="E942" s="3" t="s">
        <v>1891</v>
      </c>
      <c r="F942" s="3" t="s">
        <v>38</v>
      </c>
      <c r="G942" s="3" t="s">
        <v>1904</v>
      </c>
      <c r="H942" s="2" t="s">
        <v>1893</v>
      </c>
      <c r="I942" s="4"/>
      <c r="J942" s="4"/>
      <c r="K942" s="4"/>
      <c r="L942" s="5"/>
      <c r="M942" s="3"/>
    </row>
    <row r="943" spans="1:13" x14ac:dyDescent="0.3">
      <c r="A943" s="2">
        <v>942</v>
      </c>
      <c r="B943" s="2" t="s">
        <v>1882</v>
      </c>
      <c r="C943" s="2" t="s">
        <v>1890</v>
      </c>
      <c r="D943" s="2">
        <v>90</v>
      </c>
      <c r="E943" s="3" t="s">
        <v>1891</v>
      </c>
      <c r="F943" s="3" t="s">
        <v>40</v>
      </c>
      <c r="G943" s="3" t="s">
        <v>1905</v>
      </c>
      <c r="H943" s="2" t="s">
        <v>1893</v>
      </c>
      <c r="I943" s="4"/>
      <c r="J943" s="4"/>
      <c r="K943" s="4"/>
      <c r="L943" s="5"/>
      <c r="M943" s="3"/>
    </row>
    <row r="944" spans="1:13" ht="28.8" x14ac:dyDescent="0.3">
      <c r="A944" s="2">
        <v>943</v>
      </c>
      <c r="B944" s="2" t="s">
        <v>1882</v>
      </c>
      <c r="C944" s="2" t="s">
        <v>1890</v>
      </c>
      <c r="D944" s="2">
        <v>95</v>
      </c>
      <c r="E944" s="3" t="s">
        <v>1891</v>
      </c>
      <c r="F944" s="3" t="s">
        <v>42</v>
      </c>
      <c r="G944" s="3" t="s">
        <v>1906</v>
      </c>
      <c r="H944" s="2" t="s">
        <v>1893</v>
      </c>
      <c r="I944" s="4"/>
      <c r="J944" s="4"/>
      <c r="K944" s="4"/>
      <c r="L944" s="5"/>
      <c r="M944" s="3"/>
    </row>
    <row r="945" spans="1:13" ht="28.8" x14ac:dyDescent="0.3">
      <c r="A945" s="2">
        <v>944</v>
      </c>
      <c r="B945" s="2" t="s">
        <v>1882</v>
      </c>
      <c r="C945" s="2" t="s">
        <v>1890</v>
      </c>
      <c r="D945" s="2">
        <v>99</v>
      </c>
      <c r="E945" s="3" t="s">
        <v>1891</v>
      </c>
      <c r="F945" s="3" t="s">
        <v>44</v>
      </c>
      <c r="G945" s="3" t="s">
        <v>1907</v>
      </c>
      <c r="H945" s="2" t="s">
        <v>1893</v>
      </c>
      <c r="I945" s="4"/>
      <c r="J945" s="4"/>
      <c r="K945" s="4"/>
      <c r="L945" s="5"/>
      <c r="M945" s="3"/>
    </row>
    <row r="946" spans="1:13" x14ac:dyDescent="0.3">
      <c r="A946" s="2">
        <v>945</v>
      </c>
      <c r="B946" s="2" t="s">
        <v>1882</v>
      </c>
      <c r="C946" s="2" t="s">
        <v>1890</v>
      </c>
      <c r="D946" s="2">
        <v>103</v>
      </c>
      <c r="E946" s="3" t="s">
        <v>1891</v>
      </c>
      <c r="F946" s="3" t="s">
        <v>46</v>
      </c>
      <c r="G946" s="3" t="s">
        <v>1908</v>
      </c>
      <c r="H946" s="2" t="s">
        <v>1893</v>
      </c>
      <c r="I946" s="4"/>
      <c r="J946" s="4"/>
      <c r="K946" s="4"/>
      <c r="L946" s="5"/>
      <c r="M946" s="3"/>
    </row>
    <row r="947" spans="1:13" x14ac:dyDescent="0.3">
      <c r="A947" s="2">
        <v>946</v>
      </c>
      <c r="B947" s="2" t="s">
        <v>1882</v>
      </c>
      <c r="C947" s="2" t="s">
        <v>1909</v>
      </c>
      <c r="D947" s="2">
        <v>43</v>
      </c>
      <c r="E947" s="3" t="s">
        <v>1910</v>
      </c>
      <c r="F947" s="3" t="s">
        <v>16</v>
      </c>
      <c r="G947" s="3" t="s">
        <v>1911</v>
      </c>
      <c r="H947" s="2" t="s">
        <v>1912</v>
      </c>
      <c r="I947" s="4"/>
      <c r="J947" s="4"/>
      <c r="K947" s="4"/>
      <c r="L947" s="5"/>
      <c r="M947" s="3"/>
    </row>
    <row r="948" spans="1:13" x14ac:dyDescent="0.3">
      <c r="A948" s="2">
        <v>947</v>
      </c>
      <c r="B948" s="2" t="s">
        <v>1882</v>
      </c>
      <c r="C948" s="2" t="s">
        <v>1909</v>
      </c>
      <c r="D948" s="2">
        <v>52</v>
      </c>
      <c r="E948" s="3" t="s">
        <v>1910</v>
      </c>
      <c r="F948" s="3" t="s">
        <v>18</v>
      </c>
      <c r="G948" s="3" t="s">
        <v>1913</v>
      </c>
      <c r="H948" s="2" t="s">
        <v>1912</v>
      </c>
      <c r="I948" s="4"/>
      <c r="J948" s="4"/>
      <c r="K948" s="4"/>
      <c r="L948" s="5"/>
      <c r="M948" s="3"/>
    </row>
    <row r="949" spans="1:13" x14ac:dyDescent="0.3">
      <c r="A949" s="2">
        <v>948</v>
      </c>
      <c r="B949" s="2" t="s">
        <v>1882</v>
      </c>
      <c r="C949" s="2" t="s">
        <v>1909</v>
      </c>
      <c r="D949" s="2">
        <v>56</v>
      </c>
      <c r="E949" s="3" t="s">
        <v>1910</v>
      </c>
      <c r="F949" s="3" t="s">
        <v>20</v>
      </c>
      <c r="G949" s="3" t="s">
        <v>1914</v>
      </c>
      <c r="H949" s="2" t="s">
        <v>1912</v>
      </c>
      <c r="I949" s="4"/>
      <c r="J949" s="4"/>
      <c r="K949" s="4"/>
      <c r="L949" s="5"/>
      <c r="M949" s="3"/>
    </row>
    <row r="950" spans="1:13" x14ac:dyDescent="0.3">
      <c r="A950" s="2">
        <v>949</v>
      </c>
      <c r="B950" s="2" t="s">
        <v>1882</v>
      </c>
      <c r="C950" s="2" t="s">
        <v>1909</v>
      </c>
      <c r="D950" s="2">
        <v>60</v>
      </c>
      <c r="E950" s="3" t="s">
        <v>1910</v>
      </c>
      <c r="F950" s="3" t="s">
        <v>22</v>
      </c>
      <c r="G950" s="3" t="s">
        <v>1915</v>
      </c>
      <c r="H950" s="2" t="s">
        <v>1912</v>
      </c>
      <c r="I950" s="4"/>
      <c r="J950" s="4"/>
      <c r="K950" s="4"/>
      <c r="L950" s="5"/>
      <c r="M950" s="3"/>
    </row>
    <row r="951" spans="1:13" x14ac:dyDescent="0.3">
      <c r="A951" s="2">
        <v>950</v>
      </c>
      <c r="B951" s="2" t="s">
        <v>1882</v>
      </c>
      <c r="C951" s="2" t="s">
        <v>1909</v>
      </c>
      <c r="D951" s="2">
        <v>64</v>
      </c>
      <c r="E951" s="3" t="s">
        <v>1910</v>
      </c>
      <c r="F951" s="3" t="s">
        <v>24</v>
      </c>
      <c r="G951" s="3" t="s">
        <v>1916</v>
      </c>
      <c r="H951" s="2" t="s">
        <v>1912</v>
      </c>
      <c r="I951" s="4"/>
      <c r="J951" s="4"/>
      <c r="K951" s="4"/>
      <c r="L951" s="5"/>
      <c r="M951" s="3"/>
    </row>
    <row r="952" spans="1:13" x14ac:dyDescent="0.3">
      <c r="A952" s="2">
        <v>951</v>
      </c>
      <c r="B952" s="2" t="s">
        <v>1882</v>
      </c>
      <c r="C952" s="2" t="s">
        <v>1909</v>
      </c>
      <c r="D952" s="2">
        <v>69</v>
      </c>
      <c r="E952" s="3" t="s">
        <v>1910</v>
      </c>
      <c r="F952" s="3" t="s">
        <v>26</v>
      </c>
      <c r="G952" s="3" t="s">
        <v>1917</v>
      </c>
      <c r="H952" s="2" t="s">
        <v>1912</v>
      </c>
      <c r="I952" s="4"/>
      <c r="J952" s="4"/>
      <c r="K952" s="4"/>
      <c r="L952" s="5"/>
      <c r="M952" s="3"/>
    </row>
    <row r="953" spans="1:13" x14ac:dyDescent="0.3">
      <c r="A953" s="2">
        <v>952</v>
      </c>
      <c r="B953" s="2" t="s">
        <v>1882</v>
      </c>
      <c r="C953" s="2" t="s">
        <v>1909</v>
      </c>
      <c r="D953" s="2">
        <v>73</v>
      </c>
      <c r="E953" s="3" t="s">
        <v>1910</v>
      </c>
      <c r="F953" s="3" t="s">
        <v>28</v>
      </c>
      <c r="G953" s="3" t="s">
        <v>1918</v>
      </c>
      <c r="H953" s="2" t="s">
        <v>1912</v>
      </c>
      <c r="I953" s="4"/>
      <c r="J953" s="4"/>
      <c r="K953" s="4"/>
      <c r="L953" s="5"/>
      <c r="M953" s="3"/>
    </row>
    <row r="954" spans="1:13" x14ac:dyDescent="0.3">
      <c r="A954" s="2">
        <v>953</v>
      </c>
      <c r="B954" s="2" t="s">
        <v>1882</v>
      </c>
      <c r="C954" s="2" t="s">
        <v>1909</v>
      </c>
      <c r="D954" s="2">
        <v>77</v>
      </c>
      <c r="E954" s="3" t="s">
        <v>1910</v>
      </c>
      <c r="F954" s="3" t="s">
        <v>30</v>
      </c>
      <c r="G954" s="3" t="s">
        <v>1919</v>
      </c>
      <c r="H954" s="2" t="s">
        <v>1912</v>
      </c>
      <c r="I954" s="4"/>
      <c r="J954" s="4"/>
      <c r="K954" s="4"/>
      <c r="L954" s="5"/>
      <c r="M954" s="3"/>
    </row>
    <row r="955" spans="1:13" x14ac:dyDescent="0.3">
      <c r="A955" s="2">
        <v>954</v>
      </c>
      <c r="B955" s="2" t="s">
        <v>1882</v>
      </c>
      <c r="C955" s="2" t="s">
        <v>1909</v>
      </c>
      <c r="D955" s="2">
        <v>81</v>
      </c>
      <c r="E955" s="3" t="s">
        <v>1910</v>
      </c>
      <c r="F955" s="3" t="s">
        <v>32</v>
      </c>
      <c r="G955" s="3" t="s">
        <v>1920</v>
      </c>
      <c r="H955" s="2" t="s">
        <v>1912</v>
      </c>
      <c r="I955" s="4"/>
      <c r="J955" s="4"/>
      <c r="K955" s="4"/>
      <c r="L955" s="5"/>
      <c r="M955" s="3"/>
    </row>
    <row r="956" spans="1:13" x14ac:dyDescent="0.3">
      <c r="A956" s="2">
        <v>955</v>
      </c>
      <c r="B956" s="2" t="s">
        <v>1882</v>
      </c>
      <c r="C956" s="2" t="s">
        <v>1909</v>
      </c>
      <c r="D956" s="2">
        <v>86</v>
      </c>
      <c r="E956" s="3" t="s">
        <v>1910</v>
      </c>
      <c r="F956" s="3" t="s">
        <v>34</v>
      </c>
      <c r="G956" s="3" t="s">
        <v>1921</v>
      </c>
      <c r="H956" s="2" t="s">
        <v>1912</v>
      </c>
      <c r="I956" s="4"/>
      <c r="J956" s="4"/>
      <c r="K956" s="4"/>
      <c r="L956" s="5"/>
      <c r="M956" s="3"/>
    </row>
    <row r="957" spans="1:13" x14ac:dyDescent="0.3">
      <c r="A957" s="2">
        <v>956</v>
      </c>
      <c r="B957" s="2" t="s">
        <v>1882</v>
      </c>
      <c r="C957" s="2" t="s">
        <v>1909</v>
      </c>
      <c r="D957" s="2">
        <v>90</v>
      </c>
      <c r="E957" s="3" t="s">
        <v>1910</v>
      </c>
      <c r="F957" s="3" t="s">
        <v>36</v>
      </c>
      <c r="G957" s="3" t="s">
        <v>1922</v>
      </c>
      <c r="H957" s="2" t="s">
        <v>1912</v>
      </c>
      <c r="I957" s="4"/>
      <c r="J957" s="4"/>
      <c r="K957" s="4"/>
      <c r="L957" s="5"/>
      <c r="M957" s="3"/>
    </row>
    <row r="958" spans="1:13" x14ac:dyDescent="0.3">
      <c r="A958" s="2">
        <v>957</v>
      </c>
      <c r="B958" s="2" t="s">
        <v>1882</v>
      </c>
      <c r="C958" s="2" t="s">
        <v>1909</v>
      </c>
      <c r="D958" s="2">
        <v>94</v>
      </c>
      <c r="E958" s="3" t="s">
        <v>1910</v>
      </c>
      <c r="F958" s="3" t="s">
        <v>38</v>
      </c>
      <c r="G958" s="3" t="s">
        <v>1923</v>
      </c>
      <c r="H958" s="2" t="s">
        <v>1912</v>
      </c>
      <c r="I958" s="4"/>
      <c r="J958" s="4"/>
      <c r="K958" s="4"/>
      <c r="L958" s="5"/>
      <c r="M958" s="3"/>
    </row>
    <row r="959" spans="1:13" x14ac:dyDescent="0.3">
      <c r="A959" s="2">
        <v>958</v>
      </c>
      <c r="B959" s="2" t="s">
        <v>1882</v>
      </c>
      <c r="C959" s="2" t="s">
        <v>1909</v>
      </c>
      <c r="D959" s="2">
        <v>98</v>
      </c>
      <c r="E959" s="3" t="s">
        <v>1910</v>
      </c>
      <c r="F959" s="3" t="s">
        <v>40</v>
      </c>
      <c r="G959" s="3" t="s">
        <v>1924</v>
      </c>
      <c r="H959" s="2" t="s">
        <v>1912</v>
      </c>
      <c r="I959" s="4"/>
      <c r="J959" s="4"/>
      <c r="K959" s="4"/>
      <c r="L959" s="5"/>
      <c r="M959" s="3"/>
    </row>
    <row r="960" spans="1:13" x14ac:dyDescent="0.3">
      <c r="A960" s="2">
        <v>959</v>
      </c>
      <c r="B960" s="2" t="s">
        <v>1882</v>
      </c>
      <c r="C960" s="2" t="s">
        <v>1909</v>
      </c>
      <c r="D960" s="2">
        <v>103</v>
      </c>
      <c r="E960" s="3" t="s">
        <v>1910</v>
      </c>
      <c r="F960" s="3" t="s">
        <v>42</v>
      </c>
      <c r="G960" s="3" t="s">
        <v>1925</v>
      </c>
      <c r="H960" s="2" t="s">
        <v>1912</v>
      </c>
      <c r="I960" s="4"/>
      <c r="J960" s="4"/>
      <c r="K960" s="4"/>
      <c r="L960" s="5"/>
      <c r="M960" s="3"/>
    </row>
    <row r="961" spans="1:13" x14ac:dyDescent="0.3">
      <c r="A961" s="2">
        <v>960</v>
      </c>
      <c r="B961" s="2" t="s">
        <v>1882</v>
      </c>
      <c r="C961" s="2" t="s">
        <v>1909</v>
      </c>
      <c r="D961" s="2">
        <v>107</v>
      </c>
      <c r="E961" s="3" t="s">
        <v>1910</v>
      </c>
      <c r="F961" s="3" t="s">
        <v>44</v>
      </c>
      <c r="G961" s="3" t="s">
        <v>1926</v>
      </c>
      <c r="H961" s="2" t="s">
        <v>1912</v>
      </c>
      <c r="I961" s="4"/>
      <c r="J961" s="4"/>
      <c r="K961" s="4"/>
      <c r="L961" s="5"/>
      <c r="M961" s="3"/>
    </row>
    <row r="962" spans="1:13" x14ac:dyDescent="0.3">
      <c r="A962" s="2">
        <v>961</v>
      </c>
      <c r="B962" s="2" t="s">
        <v>1882</v>
      </c>
      <c r="C962" s="2" t="s">
        <v>1909</v>
      </c>
      <c r="D962" s="2">
        <v>111</v>
      </c>
      <c r="E962" s="3" t="s">
        <v>1910</v>
      </c>
      <c r="F962" s="3" t="s">
        <v>46</v>
      </c>
      <c r="G962" s="3" t="s">
        <v>1927</v>
      </c>
      <c r="H962" s="2" t="s">
        <v>1912</v>
      </c>
      <c r="I962" s="4"/>
      <c r="J962" s="4"/>
      <c r="K962" s="4"/>
      <c r="L962" s="5"/>
      <c r="M962" s="3"/>
    </row>
    <row r="963" spans="1:13" x14ac:dyDescent="0.3">
      <c r="A963" s="2">
        <v>962</v>
      </c>
      <c r="B963" s="2" t="s">
        <v>1882</v>
      </c>
      <c r="C963" s="2" t="s">
        <v>1909</v>
      </c>
      <c r="D963" s="2">
        <v>115</v>
      </c>
      <c r="E963" s="3" t="s">
        <v>1910</v>
      </c>
      <c r="F963" s="3" t="s">
        <v>48</v>
      </c>
      <c r="G963" s="3" t="s">
        <v>1928</v>
      </c>
      <c r="H963" s="2" t="s">
        <v>1912</v>
      </c>
      <c r="I963" s="4"/>
      <c r="J963" s="4"/>
      <c r="K963" s="4"/>
      <c r="L963" s="5"/>
      <c r="M963" s="3"/>
    </row>
    <row r="964" spans="1:13" ht="28.8" x14ac:dyDescent="0.3">
      <c r="A964" s="2">
        <v>963</v>
      </c>
      <c r="B964" s="2" t="s">
        <v>1882</v>
      </c>
      <c r="C964" s="2" t="s">
        <v>1909</v>
      </c>
      <c r="D964" s="2">
        <v>120</v>
      </c>
      <c r="E964" s="3" t="s">
        <v>1910</v>
      </c>
      <c r="F964" s="3" t="s">
        <v>50</v>
      </c>
      <c r="G964" s="3" t="s">
        <v>1929</v>
      </c>
      <c r="H964" s="2" t="s">
        <v>1912</v>
      </c>
      <c r="I964" s="4"/>
      <c r="J964" s="4"/>
      <c r="K964" s="4"/>
      <c r="L964" s="5"/>
      <c r="M964" s="3"/>
    </row>
    <row r="965" spans="1:13" ht="28.8" x14ac:dyDescent="0.3">
      <c r="A965" s="2">
        <v>964</v>
      </c>
      <c r="B965" s="2" t="s">
        <v>1882</v>
      </c>
      <c r="C965" s="2" t="s">
        <v>1909</v>
      </c>
      <c r="D965" s="2">
        <v>124</v>
      </c>
      <c r="E965" s="3" t="s">
        <v>1910</v>
      </c>
      <c r="F965" s="3" t="s">
        <v>52</v>
      </c>
      <c r="G965" s="3" t="s">
        <v>1930</v>
      </c>
      <c r="H965" s="2" t="s">
        <v>1912</v>
      </c>
      <c r="I965" s="4"/>
      <c r="J965" s="4"/>
      <c r="K965" s="4"/>
      <c r="L965" s="5"/>
      <c r="M965" s="3"/>
    </row>
    <row r="966" spans="1:13" x14ac:dyDescent="0.3">
      <c r="A966" s="2">
        <v>965</v>
      </c>
      <c r="B966" s="2" t="s">
        <v>1882</v>
      </c>
      <c r="C966" s="2" t="s">
        <v>1909</v>
      </c>
      <c r="D966" s="2">
        <v>128</v>
      </c>
      <c r="E966" s="3" t="s">
        <v>1910</v>
      </c>
      <c r="F966" s="3" t="s">
        <v>54</v>
      </c>
      <c r="G966" s="3" t="s">
        <v>1931</v>
      </c>
      <c r="H966" s="2" t="s">
        <v>1912</v>
      </c>
      <c r="I966" s="4"/>
      <c r="J966" s="4"/>
      <c r="K966" s="4"/>
      <c r="L966" s="5"/>
      <c r="M966" s="3"/>
    </row>
    <row r="967" spans="1:13" x14ac:dyDescent="0.3">
      <c r="A967" s="2">
        <v>966</v>
      </c>
      <c r="B967" s="2" t="s">
        <v>1882</v>
      </c>
      <c r="C967" s="2" t="s">
        <v>1909</v>
      </c>
      <c r="D967" s="2">
        <v>132</v>
      </c>
      <c r="E967" s="3" t="s">
        <v>1910</v>
      </c>
      <c r="F967" s="3" t="s">
        <v>56</v>
      </c>
      <c r="G967" s="3" t="s">
        <v>1932</v>
      </c>
      <c r="H967" s="2" t="s">
        <v>1912</v>
      </c>
      <c r="I967" s="4"/>
      <c r="J967" s="4"/>
      <c r="K967" s="4"/>
      <c r="L967" s="5"/>
      <c r="M967" s="3"/>
    </row>
  </sheetData>
  <autoFilter ref="A1:M967" xr:uid="{00000000-0009-0000-0000-000000000000}"/>
  <dataValidations count="2">
    <dataValidation type="list" allowBlank="1" sqref="I2:J967" xr:uid="{00000000-0002-0000-0000-000000000000}">
      <formula1>"Y,N"</formula1>
    </dataValidation>
    <dataValidation type="list" allowBlank="1" sqref="K2:K967" xr:uid="{00000000-0002-0000-0000-000001000000}">
      <formula1>"P1,P2,P3"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12" customWidth="1"/>
    <col min="3" max="3" width="15" customWidth="1"/>
    <col min="4" max="4" width="12" customWidth="1"/>
    <col min="5" max="5" width="16" customWidth="1"/>
  </cols>
  <sheetData>
    <row r="1" spans="1:5" x14ac:dyDescent="0.3">
      <c r="A1" s="6" t="s">
        <v>2</v>
      </c>
      <c r="B1" s="6" t="s">
        <v>1933</v>
      </c>
      <c r="C1" s="6" t="s">
        <v>1934</v>
      </c>
      <c r="D1" s="6" t="s">
        <v>1935</v>
      </c>
      <c r="E1" s="6" t="s">
        <v>1936</v>
      </c>
    </row>
    <row r="2" spans="1:5" x14ac:dyDescent="0.3">
      <c r="A2" s="7" t="s">
        <v>14</v>
      </c>
      <c r="B2" s="7">
        <f>COUNTIF('Test Cases'!$C$2:$C$967,A2)</f>
        <v>26</v>
      </c>
      <c r="C2" s="7">
        <f>COUNTIFS('Test Cases'!$C$2:$C$967,A2,'Test Cases'!$I$2:$I$967,"Y")</f>
        <v>0</v>
      </c>
      <c r="D2" s="7">
        <f>COUNTIFS('Test Cases'!$C$2:$C$967,A2,'Test Cases'!$J$2:$J$967,"Y")</f>
        <v>0</v>
      </c>
      <c r="E2" s="7">
        <f>COUNTIFS('Test Cases'!$C$2:$C$967,A2,'Test Cases'!$I$2:$I$967,"")</f>
        <v>26</v>
      </c>
    </row>
    <row r="3" spans="1:5" x14ac:dyDescent="0.3">
      <c r="A3" s="7" t="s">
        <v>68</v>
      </c>
      <c r="B3" s="7">
        <f>COUNTIF('Test Cases'!$C$2:$C$967,A3)</f>
        <v>1</v>
      </c>
      <c r="C3" s="7">
        <f>COUNTIFS('Test Cases'!$C$2:$C$967,A3,'Test Cases'!$I$2:$I$967,"Y")</f>
        <v>0</v>
      </c>
      <c r="D3" s="7">
        <f>COUNTIFS('Test Cases'!$C$2:$C$967,A3,'Test Cases'!$J$2:$J$967,"Y")</f>
        <v>0</v>
      </c>
      <c r="E3" s="7">
        <f>COUNTIFS('Test Cases'!$C$2:$C$967,A3,'Test Cases'!$I$2:$I$967,"")</f>
        <v>1</v>
      </c>
    </row>
    <row r="4" spans="1:5" x14ac:dyDescent="0.3">
      <c r="A4" s="7" t="s">
        <v>71</v>
      </c>
      <c r="B4" s="7">
        <f>COUNTIF('Test Cases'!$C$2:$C$967,A4)</f>
        <v>4</v>
      </c>
      <c r="C4" s="7">
        <f>COUNTIFS('Test Cases'!$C$2:$C$967,A4,'Test Cases'!$I$2:$I$967,"Y")</f>
        <v>0</v>
      </c>
      <c r="D4" s="7">
        <f>COUNTIFS('Test Cases'!$C$2:$C$967,A4,'Test Cases'!$J$2:$J$967,"Y")</f>
        <v>0</v>
      </c>
      <c r="E4" s="7">
        <f>COUNTIFS('Test Cases'!$C$2:$C$967,A4,'Test Cases'!$I$2:$I$967,"")</f>
        <v>4</v>
      </c>
    </row>
    <row r="5" spans="1:5" x14ac:dyDescent="0.3">
      <c r="A5" s="7" t="s">
        <v>78</v>
      </c>
      <c r="B5" s="7">
        <f>COUNTIF('Test Cases'!$C$2:$C$967,A5)</f>
        <v>1</v>
      </c>
      <c r="C5" s="7">
        <f>COUNTIFS('Test Cases'!$C$2:$C$967,A5,'Test Cases'!$I$2:$I$967,"Y")</f>
        <v>0</v>
      </c>
      <c r="D5" s="7">
        <f>COUNTIFS('Test Cases'!$C$2:$C$967,A5,'Test Cases'!$J$2:$J$967,"Y")</f>
        <v>0</v>
      </c>
      <c r="E5" s="7">
        <f>COUNTIFS('Test Cases'!$C$2:$C$967,A5,'Test Cases'!$I$2:$I$967,"")</f>
        <v>1</v>
      </c>
    </row>
    <row r="6" spans="1:5" x14ac:dyDescent="0.3">
      <c r="A6" s="7" t="s">
        <v>81</v>
      </c>
      <c r="B6" s="7">
        <f>COUNTIF('Test Cases'!$C$2:$C$967,A6)</f>
        <v>30</v>
      </c>
      <c r="C6" s="7">
        <f>COUNTIFS('Test Cases'!$C$2:$C$967,A6,'Test Cases'!$I$2:$I$967,"Y")</f>
        <v>0</v>
      </c>
      <c r="D6" s="7">
        <f>COUNTIFS('Test Cases'!$C$2:$C$967,A6,'Test Cases'!$J$2:$J$967,"Y")</f>
        <v>0</v>
      </c>
      <c r="E6" s="7">
        <f>COUNTIFS('Test Cases'!$C$2:$C$967,A6,'Test Cases'!$I$2:$I$967,"")</f>
        <v>30</v>
      </c>
    </row>
    <row r="7" spans="1:5" x14ac:dyDescent="0.3">
      <c r="A7" s="7" t="s">
        <v>144</v>
      </c>
      <c r="B7" s="7">
        <f>COUNTIF('Test Cases'!$C$2:$C$967,A7)</f>
        <v>26</v>
      </c>
      <c r="C7" s="7">
        <f>COUNTIFS('Test Cases'!$C$2:$C$967,A7,'Test Cases'!$I$2:$I$967,"Y")</f>
        <v>0</v>
      </c>
      <c r="D7" s="7">
        <f>COUNTIFS('Test Cases'!$C$2:$C$967,A7,'Test Cases'!$J$2:$J$967,"Y")</f>
        <v>0</v>
      </c>
      <c r="E7" s="7">
        <f>COUNTIFS('Test Cases'!$C$2:$C$967,A7,'Test Cases'!$I$2:$I$967,"")</f>
        <v>26</v>
      </c>
    </row>
    <row r="8" spans="1:5" x14ac:dyDescent="0.3">
      <c r="A8" s="7" t="s">
        <v>200</v>
      </c>
      <c r="B8" s="7">
        <f>COUNTIF('Test Cases'!$C$2:$C$967,A8)</f>
        <v>49</v>
      </c>
      <c r="C8" s="7">
        <f>COUNTIFS('Test Cases'!$C$2:$C$967,A8,'Test Cases'!$I$2:$I$967,"Y")</f>
        <v>0</v>
      </c>
      <c r="D8" s="7">
        <f>COUNTIFS('Test Cases'!$C$2:$C$967,A8,'Test Cases'!$J$2:$J$967,"Y")</f>
        <v>0</v>
      </c>
      <c r="E8" s="7">
        <f>COUNTIFS('Test Cases'!$C$2:$C$967,A8,'Test Cases'!$I$2:$I$967,"")</f>
        <v>49</v>
      </c>
    </row>
    <row r="9" spans="1:5" x14ac:dyDescent="0.3">
      <c r="A9" s="7" t="s">
        <v>301</v>
      </c>
      <c r="B9" s="7">
        <f>COUNTIF('Test Cases'!$C$2:$C$967,A9)</f>
        <v>40</v>
      </c>
      <c r="C9" s="7">
        <f>COUNTIFS('Test Cases'!$C$2:$C$967,A9,'Test Cases'!$I$2:$I$967,"Y")</f>
        <v>0</v>
      </c>
      <c r="D9" s="7">
        <f>COUNTIFS('Test Cases'!$C$2:$C$967,A9,'Test Cases'!$J$2:$J$967,"Y")</f>
        <v>0</v>
      </c>
      <c r="E9" s="7">
        <f>COUNTIFS('Test Cases'!$C$2:$C$967,A9,'Test Cases'!$I$2:$I$967,"")</f>
        <v>40</v>
      </c>
    </row>
    <row r="10" spans="1:5" x14ac:dyDescent="0.3">
      <c r="A10" s="7" t="s">
        <v>384</v>
      </c>
      <c r="B10" s="7">
        <f>COUNTIF('Test Cases'!$C$2:$C$967,A10)</f>
        <v>31</v>
      </c>
      <c r="C10" s="7">
        <f>COUNTIFS('Test Cases'!$C$2:$C$967,A10,'Test Cases'!$I$2:$I$967,"Y")</f>
        <v>0</v>
      </c>
      <c r="D10" s="7">
        <f>COUNTIFS('Test Cases'!$C$2:$C$967,A10,'Test Cases'!$J$2:$J$967,"Y")</f>
        <v>0</v>
      </c>
      <c r="E10" s="7">
        <f>COUNTIFS('Test Cases'!$C$2:$C$967,A10,'Test Cases'!$I$2:$I$967,"")</f>
        <v>31</v>
      </c>
    </row>
    <row r="11" spans="1:5" x14ac:dyDescent="0.3">
      <c r="A11" s="7" t="s">
        <v>449</v>
      </c>
      <c r="B11" s="7">
        <f>COUNTIF('Test Cases'!$C$2:$C$967,A11)</f>
        <v>11</v>
      </c>
      <c r="C11" s="7">
        <f>COUNTIFS('Test Cases'!$C$2:$C$967,A11,'Test Cases'!$I$2:$I$967,"Y")</f>
        <v>0</v>
      </c>
      <c r="D11" s="7">
        <f>COUNTIFS('Test Cases'!$C$2:$C$967,A11,'Test Cases'!$J$2:$J$967,"Y")</f>
        <v>0</v>
      </c>
      <c r="E11" s="7">
        <f>COUNTIFS('Test Cases'!$C$2:$C$967,A11,'Test Cases'!$I$2:$I$967,"")</f>
        <v>11</v>
      </c>
    </row>
    <row r="12" spans="1:5" x14ac:dyDescent="0.3">
      <c r="A12" s="7" t="s">
        <v>475</v>
      </c>
      <c r="B12" s="7">
        <f>COUNTIF('Test Cases'!$C$2:$C$967,A12)</f>
        <v>2</v>
      </c>
      <c r="C12" s="7">
        <f>COUNTIFS('Test Cases'!$C$2:$C$967,A12,'Test Cases'!$I$2:$I$967,"Y")</f>
        <v>0</v>
      </c>
      <c r="D12" s="7">
        <f>COUNTIFS('Test Cases'!$C$2:$C$967,A12,'Test Cases'!$J$2:$J$967,"Y")</f>
        <v>0</v>
      </c>
      <c r="E12" s="7">
        <f>COUNTIFS('Test Cases'!$C$2:$C$967,A12,'Test Cases'!$I$2:$I$967,"")</f>
        <v>2</v>
      </c>
    </row>
    <row r="13" spans="1:5" x14ac:dyDescent="0.3">
      <c r="A13" s="7" t="s">
        <v>482</v>
      </c>
      <c r="B13" s="7">
        <f>COUNTIF('Test Cases'!$C$2:$C$967,A13)</f>
        <v>14</v>
      </c>
      <c r="C13" s="7">
        <f>COUNTIFS('Test Cases'!$C$2:$C$967,A13,'Test Cases'!$I$2:$I$967,"Y")</f>
        <v>0</v>
      </c>
      <c r="D13" s="7">
        <f>COUNTIFS('Test Cases'!$C$2:$C$967,A13,'Test Cases'!$J$2:$J$967,"Y")</f>
        <v>0</v>
      </c>
      <c r="E13" s="7">
        <f>COUNTIFS('Test Cases'!$C$2:$C$967,A13,'Test Cases'!$I$2:$I$967,"")</f>
        <v>14</v>
      </c>
    </row>
    <row r="14" spans="1:5" x14ac:dyDescent="0.3">
      <c r="A14" s="7" t="s">
        <v>500</v>
      </c>
      <c r="B14" s="7">
        <f>COUNTIF('Test Cases'!$C$2:$C$967,A14)</f>
        <v>80</v>
      </c>
      <c r="C14" s="7">
        <f>COUNTIFS('Test Cases'!$C$2:$C$967,A14,'Test Cases'!$I$2:$I$967,"Y")</f>
        <v>0</v>
      </c>
      <c r="D14" s="7">
        <f>COUNTIFS('Test Cases'!$C$2:$C$967,A14,'Test Cases'!$J$2:$J$967,"Y")</f>
        <v>0</v>
      </c>
      <c r="E14" s="7">
        <f>COUNTIFS('Test Cases'!$C$2:$C$967,A14,'Test Cases'!$I$2:$I$967,"")</f>
        <v>80</v>
      </c>
    </row>
    <row r="15" spans="1:5" x14ac:dyDescent="0.3">
      <c r="A15" s="7" t="s">
        <v>663</v>
      </c>
      <c r="B15" s="7">
        <f>COUNTIF('Test Cases'!$C$2:$C$967,A15)</f>
        <v>65</v>
      </c>
      <c r="C15" s="7">
        <f>COUNTIFS('Test Cases'!$C$2:$C$967,A15,'Test Cases'!$I$2:$I$967,"Y")</f>
        <v>0</v>
      </c>
      <c r="D15" s="7">
        <f>COUNTIFS('Test Cases'!$C$2:$C$967,A15,'Test Cases'!$J$2:$J$967,"Y")</f>
        <v>0</v>
      </c>
      <c r="E15" s="7">
        <f>COUNTIFS('Test Cases'!$C$2:$C$967,A15,'Test Cases'!$I$2:$I$967,"")</f>
        <v>65</v>
      </c>
    </row>
    <row r="16" spans="1:5" x14ac:dyDescent="0.3">
      <c r="A16" s="7" t="s">
        <v>796</v>
      </c>
      <c r="B16" s="7">
        <f>COUNTIF('Test Cases'!$C$2:$C$967,A16)</f>
        <v>43</v>
      </c>
      <c r="C16" s="7">
        <f>COUNTIFS('Test Cases'!$C$2:$C$967,A16,'Test Cases'!$I$2:$I$967,"Y")</f>
        <v>0</v>
      </c>
      <c r="D16" s="7">
        <f>COUNTIFS('Test Cases'!$C$2:$C$967,A16,'Test Cases'!$J$2:$J$967,"Y")</f>
        <v>0</v>
      </c>
      <c r="E16" s="7">
        <f>COUNTIFS('Test Cases'!$C$2:$C$967,A16,'Test Cases'!$I$2:$I$967,"")</f>
        <v>43</v>
      </c>
    </row>
    <row r="17" spans="1:5" x14ac:dyDescent="0.3">
      <c r="A17" s="7" t="s">
        <v>885</v>
      </c>
      <c r="B17" s="7">
        <f>COUNTIF('Test Cases'!$C$2:$C$967,A17)</f>
        <v>42</v>
      </c>
      <c r="C17" s="7">
        <f>COUNTIFS('Test Cases'!$C$2:$C$967,A17,'Test Cases'!$I$2:$I$967,"Y")</f>
        <v>0</v>
      </c>
      <c r="D17" s="7">
        <f>COUNTIFS('Test Cases'!$C$2:$C$967,A17,'Test Cases'!$J$2:$J$967,"Y")</f>
        <v>0</v>
      </c>
      <c r="E17" s="7">
        <f>COUNTIFS('Test Cases'!$C$2:$C$967,A17,'Test Cases'!$I$2:$I$967,"")</f>
        <v>42</v>
      </c>
    </row>
    <row r="18" spans="1:5" x14ac:dyDescent="0.3">
      <c r="A18" s="7" t="s">
        <v>972</v>
      </c>
      <c r="B18" s="7">
        <f>COUNTIF('Test Cases'!$C$2:$C$967,A18)</f>
        <v>40</v>
      </c>
      <c r="C18" s="7">
        <f>COUNTIFS('Test Cases'!$C$2:$C$967,A18,'Test Cases'!$I$2:$I$967,"Y")</f>
        <v>0</v>
      </c>
      <c r="D18" s="7">
        <f>COUNTIFS('Test Cases'!$C$2:$C$967,A18,'Test Cases'!$J$2:$J$967,"Y")</f>
        <v>0</v>
      </c>
      <c r="E18" s="7">
        <f>COUNTIFS('Test Cases'!$C$2:$C$967,A18,'Test Cases'!$I$2:$I$967,"")</f>
        <v>40</v>
      </c>
    </row>
    <row r="19" spans="1:5" x14ac:dyDescent="0.3">
      <c r="A19" s="7" t="s">
        <v>1056</v>
      </c>
      <c r="B19" s="7">
        <f>COUNTIF('Test Cases'!$C$2:$C$967,A19)</f>
        <v>18</v>
      </c>
      <c r="C19" s="7">
        <f>COUNTIFS('Test Cases'!$C$2:$C$967,A19,'Test Cases'!$I$2:$I$967,"Y")</f>
        <v>0</v>
      </c>
      <c r="D19" s="7">
        <f>COUNTIFS('Test Cases'!$C$2:$C$967,A19,'Test Cases'!$J$2:$J$967,"Y")</f>
        <v>0</v>
      </c>
      <c r="E19" s="7">
        <f>COUNTIFS('Test Cases'!$C$2:$C$967,A19,'Test Cases'!$I$2:$I$967,"")</f>
        <v>18</v>
      </c>
    </row>
    <row r="20" spans="1:5" x14ac:dyDescent="0.3">
      <c r="A20" s="7" t="s">
        <v>1073</v>
      </c>
      <c r="B20" s="7">
        <f>COUNTIF('Test Cases'!$C$2:$C$967,A20)</f>
        <v>401</v>
      </c>
      <c r="C20" s="7">
        <f>COUNTIFS('Test Cases'!$C$2:$C$967,A20,'Test Cases'!$I$2:$I$967,"Y")</f>
        <v>0</v>
      </c>
      <c r="D20" s="7">
        <f>COUNTIFS('Test Cases'!$C$2:$C$967,A20,'Test Cases'!$J$2:$J$967,"Y")</f>
        <v>0</v>
      </c>
      <c r="E20" s="7">
        <f>COUNTIFS('Test Cases'!$C$2:$C$967,A20,'Test Cases'!$I$2:$I$967,"")</f>
        <v>401</v>
      </c>
    </row>
    <row r="21" spans="1:5" x14ac:dyDescent="0.3">
      <c r="A21" s="7" t="s">
        <v>1878</v>
      </c>
      <c r="B21" s="7">
        <f>COUNTIF('Test Cases'!$C$2:$C$967,A21)</f>
        <v>1</v>
      </c>
      <c r="C21" s="7">
        <f>COUNTIFS('Test Cases'!$C$2:$C$967,A21,'Test Cases'!$I$2:$I$967,"Y")</f>
        <v>0</v>
      </c>
      <c r="D21" s="7">
        <f>COUNTIFS('Test Cases'!$C$2:$C$967,A21,'Test Cases'!$J$2:$J$967,"Y")</f>
        <v>0</v>
      </c>
      <c r="E21" s="7">
        <f>COUNTIFS('Test Cases'!$C$2:$C$967,A21,'Test Cases'!$I$2:$I$967,"")</f>
        <v>1</v>
      </c>
    </row>
    <row r="22" spans="1:5" x14ac:dyDescent="0.3">
      <c r="A22" s="7" t="s">
        <v>1883</v>
      </c>
      <c r="B22" s="7">
        <f>COUNTIF('Test Cases'!$C$2:$C$967,A22)</f>
        <v>4</v>
      </c>
      <c r="C22" s="7">
        <f>COUNTIFS('Test Cases'!$C$2:$C$967,A22,'Test Cases'!$I$2:$I$967,"Y")</f>
        <v>0</v>
      </c>
      <c r="D22" s="7">
        <f>COUNTIFS('Test Cases'!$C$2:$C$967,A22,'Test Cases'!$J$2:$J$967,"Y")</f>
        <v>0</v>
      </c>
      <c r="E22" s="7">
        <f>COUNTIFS('Test Cases'!$C$2:$C$967,A22,'Test Cases'!$I$2:$I$967,"")</f>
        <v>4</v>
      </c>
    </row>
    <row r="23" spans="1:5" x14ac:dyDescent="0.3">
      <c r="A23" s="7" t="s">
        <v>1890</v>
      </c>
      <c r="B23" s="7">
        <f>COUNTIF('Test Cases'!$C$2:$C$967,A23)</f>
        <v>16</v>
      </c>
      <c r="C23" s="7">
        <f>COUNTIFS('Test Cases'!$C$2:$C$967,A23,'Test Cases'!$I$2:$I$967,"Y")</f>
        <v>0</v>
      </c>
      <c r="D23" s="7">
        <f>COUNTIFS('Test Cases'!$C$2:$C$967,A23,'Test Cases'!$J$2:$J$967,"Y")</f>
        <v>0</v>
      </c>
      <c r="E23" s="7">
        <f>COUNTIFS('Test Cases'!$C$2:$C$967,A23,'Test Cases'!$I$2:$I$967,"")</f>
        <v>16</v>
      </c>
    </row>
    <row r="24" spans="1:5" x14ac:dyDescent="0.3">
      <c r="A24" s="7" t="s">
        <v>1909</v>
      </c>
      <c r="B24" s="7">
        <f>COUNTIF('Test Cases'!$C$2:$C$967,A24)</f>
        <v>21</v>
      </c>
      <c r="C24" s="7">
        <f>COUNTIFS('Test Cases'!$C$2:$C$967,A24,'Test Cases'!$I$2:$I$967,"Y")</f>
        <v>0</v>
      </c>
      <c r="D24" s="7">
        <f>COUNTIFS('Test Cases'!$C$2:$C$967,A24,'Test Cases'!$J$2:$J$967,"Y")</f>
        <v>0</v>
      </c>
      <c r="E24" s="7">
        <f>COUNTIFS('Test Cases'!$C$2:$C$967,A24,'Test Cases'!$I$2:$I$967,"")</f>
        <v>21</v>
      </c>
    </row>
    <row r="25" spans="1:5" x14ac:dyDescent="0.3">
      <c r="A25" s="8" t="s">
        <v>1937</v>
      </c>
      <c r="B25" s="8">
        <f>SUM(B2:B24)</f>
        <v>966</v>
      </c>
      <c r="C25" s="8">
        <f>SUM(C2:C24)</f>
        <v>0</v>
      </c>
      <c r="D25" s="8">
        <f>SUM(D2:D24)</f>
        <v>0</v>
      </c>
      <c r="E25" s="8">
        <f>SUM(E2:E24)</f>
        <v>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Abishek S</cp:lastModifiedBy>
  <dcterms:created xsi:type="dcterms:W3CDTF">2026-10-28T11:14:01Z</dcterms:created>
  <dcterms:modified xsi:type="dcterms:W3CDTF">2026-10-28T11:17:16Z</dcterms:modified>
</cp:coreProperties>
</file>